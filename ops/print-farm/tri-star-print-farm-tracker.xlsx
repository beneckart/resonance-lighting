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4e47d0fcb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 Tracker" sheetId="1" r:id="R2a4bf6b3ea1e4f5a"/>
    <x:sheet xmlns:r="http://schemas.openxmlformats.org/officeDocument/2006/relationships" name="Summary" sheetId="2" r:id="R6076ffd71b574337"/>
    <x:sheet xmlns:r="http://schemas.openxmlformats.org/officeDocument/2006/relationships" name="Lists" sheetId="3" r:id="R7d3ef34874fa46f3"/>
  </x:sheets>
</x:workbook>
</file>

<file path=xl/comments1.xml><?xml version="1.0" encoding="utf-8"?>
<x:comments xmlns:x="http://schemas.openxmlformats.org/spreadsheetml/2006/main">
  <x:authors>
    <x:author>tc={05419F3E-8CAE-6C81-C772-7EC9252A57B9}</x:author>
    <x:author>tc={4FB0B413-0DCF-DCE9-D8E8-5134A31DDAC6}</x:author>
    <x:author>tc={F5A4E4C9-F164-E0CE-11F8-414E6A430B4E}</x:author>
    <x:author>tc={7FD9539A-37B1-AFBE-5730-95CBA362857A}</x:author>
    <x:author>tc={A424CACF-2578-127E-11D0-40EE588D63EE}</x:author>
  </x:authors>
  <x:commentList>
    <x:comment ref="F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Enter material used per part in milligrams.</x:t>
        </x:r>
      </x:text>
    </x:comment>
    <x:comment ref="G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Enter estimated print time per part in hours.</x:t>
        </x:r>
      </x:text>
    </x:comment>
    <x:comment ref="H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Formula: Part Qty multiplied by Print Time Est.</x:t>
        </x:r>
      </x:text>
    </x:comment>
    <x:comment ref="K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Formula: remaining quantity multiplied by Print Time Est.</x:t>
        </x:r>
      </x:text>
    </x:comment>
    <x:comment ref="L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 returns Yes when Qty Printed is greater than or equal to Part Qty.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"/>
    <x:numFmt numFmtId="202" formatCode="0.0%"/>
    <x:numFmt numFmtId="203" formatCode="#,##0.0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EF2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203" fontId="0" fillId="4" borderId="1" xfId="0" applyNumberFormat="1" applyFont="1" applyFill="1" applyBorder="1"/>
    <x:xf numFmtId="0" fontId="5" fillId="4" borderId="1" xfId="0" applyNumberFormat="1" applyFont="1" applyFill="1" applyBorder="1"/>
    <x:xf numFmtId="200" fontId="5" fillId="4" borderId="1" xfId="0" applyNumberFormat="1" applyFont="1" applyFill="1" applyBorder="1"/>
    <x:xf numFmtId="201" fontId="5" fillId="4" borderId="1" xfId="0" applyNumberFormat="1" applyFont="1" applyFill="1" applyBorder="1"/>
    <x:xf numFmtId="203" fontId="5" fillId="4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9EAD3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color rgb="FF7A4F01"/>
      </x:font>
      <x:fill>
        <x:patternFill patternType="solid">
          <x:bgColor rgb="FFFFF2CC"/>
        </x:patternFill>
      </x:fill>
    </x:dxf>
    <x:dxf>
      <x:font>
        <x:color rgb="FF166534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3e587e99847a2" /><Relationship Type="http://schemas.openxmlformats.org/officeDocument/2006/relationships/theme" Target="/xl/theme/theme1.xml" Id="Rc062d066e05247fe" /><Relationship Type="http://schemas.openxmlformats.org/officeDocument/2006/relationships/sharedStrings" Target="/xl/sharedStrings.xml" Id="R9916a7c6753d43fd" /><Relationship Type="http://schemas.openxmlformats.org/officeDocument/2006/relationships/worksheet" Target="/xl/worksheets/sheet1.xml" Id="R2a4bf6b3ea1e4f5a" /><Relationship Type="http://schemas.openxmlformats.org/officeDocument/2006/relationships/worksheet" Target="/xl/worksheets/sheet2.xml" Id="R6076ffd71b574337" /><Relationship Type="http://schemas.openxmlformats.org/officeDocument/2006/relationships/worksheet" Target="/xl/worksheets/sheet3.xml" Id="R7d3ef34874fa46f3" /><Relationship Type="http://schemas.microsoft.com/office/2017/10/relationships/person" Target="/xl/persons/person.xml" Id="Rd80965ff25df4fbb" /></Relationships>
</file>

<file path=xl/persons/person.xml><?xml version="1.0" encoding="utf-8"?>
<xltc:personList xmlns:xltc="http://schemas.microsoft.com/office/spreadsheetml/2018/threadedcomments">
  <xltc:person displayName="Codex" id="{84F36DC3-5373-4B04-86B6-DF5BB61A902C}"/>
</xltc:personList>
</file>

<file path=xl/tables/table1.xml><?xml version="1.0" encoding="utf-8"?>
<x:table xmlns:x="http://schemas.openxmlformats.org/spreadsheetml/2006/main" id="1" name="PrintFarmTracker" displayName="PrintFarmTracker" ref="A1:L201" headerRowCount="1" totalsRowCount="0" totalsRowShown="0">
  <x:tableColumns count="12">
    <x:tableColumn id="1" name="Priority"/>
    <x:tableColumn id="2" name="Part Name"/>
    <x:tableColumn id="3" name="Part Qty"/>
    <x:tableColumn id="4" name="Material Type"/>
    <x:tableColumn id="5" name="Material Color"/>
    <x:tableColumn id="6" name="Material Qty (mg)"/>
    <x:tableColumn id="7" name="Print Time Est (Hr)"/>
    <x:tableColumn id="8" name="Total Print Time Estimate"/>
    <x:tableColumn id="9" name="Name of person printing"/>
    <x:tableColumn id="10" name="Qty Printed"/>
    <x:tableColumn id="11" name="Time Left"/>
    <x:tableColumn id="12" name="Comple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1" dT="2026-07-17T14:37:09.38" personId="{84F36DC3-5373-4B04-86B6-DF5BB61A902C}" id="{05419F3E-8CAE-6C81-C772-7EC9252A57B9}">
    <xltc:text>Enter material used per part in milligrams.</xltc:text>
  </xltc:threadedComment>
  <xltc:threadedComment ref="G1" dT="2026-07-17T14:37:09.381" personId="{84F36DC3-5373-4B04-86B6-DF5BB61A902C}" id="{4FB0B413-0DCF-DCE9-D8E8-5134A31DDAC6}">
    <xltc:text>Enter estimated print time per part in hours.</xltc:text>
  </xltc:threadedComment>
  <xltc:threadedComment ref="H1" dT="2026-07-17T14:37:09.381" personId="{84F36DC3-5373-4B04-86B6-DF5BB61A902C}" id="{F5A4E4C9-F164-E0CE-11F8-414E6A430B4E}">
    <xltc:text>Formula: Part Qty multiplied by Print Time Est.</xltc:text>
  </xltc:threadedComment>
  <xltc:threadedComment ref="K1" dT="2026-07-17T14:37:09.381" personId="{84F36DC3-5373-4B04-86B6-DF5BB61A902C}" id="{7FD9539A-37B1-AFBE-5730-95CBA362857A}">
    <xltc:text>Formula: remaining quantity multiplied by Print Time Est.</xltc:text>
  </xltc:threadedComment>
  <xltc:threadedComment ref="L1" dT="2026-07-17T14:37:09.381" personId="{84F36DC3-5373-4B04-86B6-DF5BB61A902C}" id="{A424CACF-2578-127E-11D0-40EE588D63EE}">
    <xltc:text>Formula returns Yes when Qty Printed is greater than or equal to Part Qty.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9b03062ff0a41f4" /><Relationship Type="http://schemas.openxmlformats.org/officeDocument/2006/relationships/vmlDrawing" Target="/xl/drawings/vmldrawing.vml" Id="R75e7d07edaac4121" /><Relationship Type="http://schemas.microsoft.com/office/2017/10/relationships/threadedComment" Target="/xl/threadedcomments/threadedcomment.xml" Id="Ra46f2abbe1504f6c" /><Relationship Type="http://schemas.openxmlformats.org/officeDocument/2006/relationships/table" Target="/xl/tables/table1.xml" Id="R6bb029729e22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3.75" hidden="0" customWidth="1"/>
    <x:col min="3" max="3" width="10" hidden="0" customWidth="1"/>
    <x:col min="4" max="4" width="14.380000114440918" hidden="0" customWidth="1"/>
    <x:col min="5" max="5" width="15.630000114440918" hidden="0" customWidth="1"/>
    <x:col min="6" max="6" width="15" hidden="0" customWidth="1"/>
    <x:col min="7" max="7" width="15" hidden="0" customWidth="1"/>
    <x:col min="8" max="8" width="18.75" hidden="0" customWidth="1"/>
    <x:col min="9" max="9" width="19.3799991607666" hidden="0" customWidth="1"/>
    <x:col min="10" max="10" width="11.880000114440918" hidden="0" customWidth="1"/>
    <x:col min="11" max="11" width="13.130000114440918" hidden="0" customWidth="1"/>
    <x:col min="12" max="12" width="11.25" hidden="0" customWidth="1"/>
  </x:cols>
  <x:sheetData>
    <x:row r="1" ht="31.5" customHeight="1">
      <x:c r="A1" s="5" t="str">
        <x:v>Priority</x:v>
      </x:c>
      <x:c r="B1" s="5" t="str">
        <x:v>Part Name</x:v>
      </x:c>
      <x:c r="C1" s="5" t="str">
        <x:v>Part Qty</x:v>
      </x:c>
      <x:c r="D1" s="5" t="str">
        <x:v>Material Type</x:v>
      </x:c>
      <x:c r="E1" s="5" t="str">
        <x:v>Material Color</x:v>
      </x:c>
      <x:c r="F1" s="5" t="str">
        <x:v>Material Qty (mg)</x:v>
      </x:c>
      <x:c r="G1" s="5" t="str">
        <x:v>Print Time Est (Hr)</x:v>
      </x:c>
      <x:c r="H1" s="5" t="str">
        <x:v>Total Print Time Estimate</x:v>
      </x:c>
      <x:c r="I1" s="5" t="str">
        <x:v>Name of person printing</x:v>
      </x:c>
      <x:c r="J1" s="5" t="str">
        <x:v>Qty Printed</x:v>
      </x:c>
      <x:c r="K1" s="5" t="str">
        <x:v>Time Left</x:v>
      </x:c>
      <x:c r="L1" s="5" t="str">
        <x:v>Complete</x:v>
      </x:c>
    </x:row>
    <x:row r="2">
      <x:c r="A2" s="8" t="str">
        <x:v>High</x:v>
      </x:c>
      <x:c r="B2" s="8" t="str">
        <x:v>Hat enclosure top</x:v>
      </x:c>
      <x:c r="C2" s="9" t="n">
        <x:v>12</x:v>
      </x:c>
      <x:c r="D2" s="8" t="str">
        <x:v>PETG</x:v>
      </x:c>
      <x:c r="E2" s="8" t="str">
        <x:v>Black</x:v>
      </x:c>
      <x:c r="F2" s="9" t="n">
        <x:v>78000</x:v>
      </x:c>
      <x:c r="G2" s="10" t="n">
        <x:v>5.5</x:v>
      </x:c>
      <x:c r="H2" s="10" t="n">
        <x:f>IF(OR(C2="",G2=""),"",C2*G2)</x:f>
        <x:v>66</x:v>
      </x:c>
      <x:c r="I2" s="8" t="str">
        <x:v>Steve</x:v>
      </x:c>
      <x:c r="J2" s="9" t="n">
        <x:v>2</x:v>
      </x:c>
      <x:c r="K2" s="10" t="n">
        <x:f>IF(OR(C2="",G2=""),"",MAX(C2-N(J2),0)*G2)</x:f>
        <x:v>55</x:v>
      </x:c>
      <x:c r="L2" s="11" t="str">
        <x:f>IF(C2="","",IF(N(J2)&gt;=C2,"Yes","No"))</x:f>
        <x:v>No</x:v>
      </x:c>
    </x:row>
    <x:row r="3">
      <x:c r="A3" s="8" t="str">
        <x:v>High</x:v>
      </x:c>
      <x:c r="B3" s="8" t="str">
        <x:v>Battery cradle</x:v>
      </x:c>
      <x:c r="C3" s="9" t="n">
        <x:v>12</x:v>
      </x:c>
      <x:c r="D3" s="8" t="str">
        <x:v>PETG</x:v>
      </x:c>
      <x:c r="E3" s="8" t="str">
        <x:v>Black</x:v>
      </x:c>
      <x:c r="F3" s="9" t="n">
        <x:v>24000</x:v>
      </x:c>
      <x:c r="G3" s="10" t="n">
        <x:v>1.8</x:v>
      </x:c>
      <x:c r="H3" s="10" t="n">
        <x:f>IF(OR(C3="",G3=""),"",C3*G3)</x:f>
        <x:v>21.6</x:v>
      </x:c>
      <x:c r="I3" s="8" t="str">
        <x:v>Jimmy</x:v>
      </x:c>
      <x:c r="J3" s="9" t="n">
        <x:v>0</x:v>
      </x:c>
      <x:c r="K3" s="10" t="n">
        <x:f>IF(OR(C3="",G3=""),"",MAX(C3-N(J3),0)*G3)</x:f>
        <x:v>21.6</x:v>
      </x:c>
      <x:c r="L3" s="11" t="str">
        <x:f>IF(C3="","",IF(N(J3)&gt;=C3,"Yes","No"))</x:f>
        <x:v>No</x:v>
      </x:c>
    </x:row>
    <x:row r="4">
      <x:c r="A4" s="8" t="str">
        <x:v>Medium</x:v>
      </x:c>
      <x:c r="B4" s="8" t="str">
        <x:v>Gobo test disc</x:v>
      </x:c>
      <x:c r="C4" s="9" t="n">
        <x:v>20</x:v>
      </x:c>
      <x:c r="D4" s="8" t="str">
        <x:v>PLA</x:v>
      </x:c>
      <x:c r="E4" s="8" t="str">
        <x:v>Matte White</x:v>
      </x:c>
      <x:c r="F4" s="9" t="n">
        <x:v>9500</x:v>
      </x:c>
      <x:c r="G4" s="10" t="n">
        <x:v>0.75</x:v>
      </x:c>
      <x:c r="H4" s="10" t="n">
        <x:f>IF(OR(C4="",G4=""),"",C4*G4)</x:f>
        <x:v>15</x:v>
      </x:c>
      <x:c r="I4" s="8" t="str">
        <x:v>Adam</x:v>
      </x:c>
      <x:c r="J4" s="9" t="n">
        <x:v>6</x:v>
      </x:c>
      <x:c r="K4" s="10" t="n">
        <x:f>IF(OR(C4="",G4=""),"",MAX(C4-N(J4),0)*G4)</x:f>
        <x:v>10.5</x:v>
      </x:c>
      <x:c r="L4" s="11" t="str">
        <x:f>IF(C4="","",IF(N(J4)&gt;=C4,"Yes","No"))</x:f>
        <x:v>No</x:v>
      </x:c>
    </x:row>
    <x:row r="5">
      <x:c r="A5" s="8" t="str">
        <x:v>Low</x:v>
      </x:c>
      <x:c r="B5" s="8" t="str">
        <x:v>Cable strain relief</x:v>
      </x:c>
      <x:c r="C5" s="9" t="n">
        <x:v>30</x:v>
      </x:c>
      <x:c r="D5" s="8" t="str">
        <x:v>TPU</x:v>
      </x:c>
      <x:c r="E5" s="8" t="str">
        <x:v>Black</x:v>
      </x:c>
      <x:c r="F5" s="9" t="n">
        <x:v>4200</x:v>
      </x:c>
      <x:c r="G5" s="10" t="n">
        <x:v>0.4</x:v>
      </x:c>
      <x:c r="H5" s="10" t="n">
        <x:f>IF(OR(C5="",G5=""),"",C5*G5)</x:f>
        <x:v>12</x:v>
      </x:c>
      <x:c r="I5" s="8" t="str">
        <x:v>Steve</x:v>
      </x:c>
      <x:c r="J5" s="9" t="n">
        <x:v>30</x:v>
      </x:c>
      <x:c r="K5" s="10" t="n">
        <x:f>IF(OR(C5="",G5=""),"",MAX(C5-N(J5),0)*G5)</x:f>
        <x:v>0</x:v>
      </x:c>
      <x:c r="L5" s="11" t="str">
        <x:f>IF(C5="","",IF(N(J5)&gt;=C5,"Yes","No"))</x:f>
        <x:v>Yes</x:v>
      </x:c>
    </x:row>
    <x:row r="6">
      <x:c r="A6" s="8"/>
      <x:c r="B6" s="8"/>
      <x:c r="C6" s="9"/>
      <x:c r="D6" s="8"/>
      <x:c r="E6" s="8"/>
      <x:c r="F6" s="9"/>
      <x:c r="G6" s="10"/>
      <x:c r="H6" s="10" t="str">
        <x:f>IF(OR(C6="",G6=""),"",C6*G6)</x:f>
      </x:c>
      <x:c r="I6" s="8"/>
      <x:c r="J6" s="9"/>
      <x:c r="K6" s="10" t="str">
        <x:f>IF(OR(C6="",G6=""),"",MAX(C6-N(J6),0)*G6)</x:f>
      </x:c>
      <x:c r="L6" s="11" t="str">
        <x:f>IF(C6="","",IF(N(J6)&gt;=C6,"Yes","No"))</x:f>
      </x:c>
    </x:row>
    <x:row r="7">
      <x:c r="A7" s="8"/>
      <x:c r="B7" s="8"/>
      <x:c r="C7" s="9"/>
      <x:c r="D7" s="8"/>
      <x:c r="E7" s="8"/>
      <x:c r="F7" s="9"/>
      <x:c r="G7" s="10"/>
      <x:c r="H7" s="10" t="str">
        <x:f>IF(OR(C7="",G7=""),"",C7*G7)</x:f>
      </x:c>
      <x:c r="I7" s="8"/>
      <x:c r="J7" s="9"/>
      <x:c r="K7" s="10" t="str">
        <x:f>IF(OR(C7="",G7=""),"",MAX(C7-N(J7),0)*G7)</x:f>
      </x:c>
      <x:c r="L7" s="11" t="str">
        <x:f>IF(C7="","",IF(N(J7)&gt;=C7,"Yes","No"))</x:f>
      </x:c>
    </x:row>
    <x:row r="8">
      <x:c r="A8" s="8"/>
      <x:c r="B8" s="8"/>
      <x:c r="C8" s="9"/>
      <x:c r="D8" s="8"/>
      <x:c r="E8" s="8"/>
      <x:c r="F8" s="9"/>
      <x:c r="G8" s="10"/>
      <x:c r="H8" s="10" t="str">
        <x:f>IF(OR(C8="",G8=""),"",C8*G8)</x:f>
      </x:c>
      <x:c r="I8" s="8"/>
      <x:c r="J8" s="9"/>
      <x:c r="K8" s="10" t="str">
        <x:f>IF(OR(C8="",G8=""),"",MAX(C8-N(J8),0)*G8)</x:f>
      </x:c>
      <x:c r="L8" s="11" t="str">
        <x:f>IF(C8="","",IF(N(J8)&gt;=C8,"Yes","No"))</x:f>
      </x:c>
    </x:row>
    <x:row r="9">
      <x:c r="A9" s="8"/>
      <x:c r="B9" s="8"/>
      <x:c r="C9" s="9"/>
      <x:c r="D9" s="8"/>
      <x:c r="E9" s="8"/>
      <x:c r="F9" s="9"/>
      <x:c r="G9" s="10"/>
      <x:c r="H9" s="10" t="str">
        <x:f>IF(OR(C9="",G9=""),"",C9*G9)</x:f>
      </x:c>
      <x:c r="I9" s="8"/>
      <x:c r="J9" s="9"/>
      <x:c r="K9" s="10" t="str">
        <x:f>IF(OR(C9="",G9=""),"",MAX(C9-N(J9),0)*G9)</x:f>
      </x:c>
      <x:c r="L9" s="11" t="str">
        <x:f>IF(C9="","",IF(N(J9)&gt;=C9,"Yes","No"))</x:f>
      </x:c>
    </x:row>
    <x:row r="10">
      <x:c r="A10" s="8"/>
      <x:c r="B10" s="8"/>
      <x:c r="C10" s="9"/>
      <x:c r="D10" s="8"/>
      <x:c r="E10" s="8"/>
      <x:c r="F10" s="9"/>
      <x:c r="G10" s="10"/>
      <x:c r="H10" s="10" t="str">
        <x:f>IF(OR(C10="",G10=""),"",C10*G10)</x:f>
      </x:c>
      <x:c r="I10" s="8"/>
      <x:c r="J10" s="9"/>
      <x:c r="K10" s="10" t="str">
        <x:f>IF(OR(C10="",G10=""),"",MAX(C10-N(J10),0)*G10)</x:f>
      </x:c>
      <x:c r="L10" s="11" t="str">
        <x:f>IF(C10="","",IF(N(J10)&gt;=C10,"Yes","No"))</x:f>
      </x:c>
    </x:row>
    <x:row r="11">
      <x:c r="A11" s="8"/>
      <x:c r="B11" s="8"/>
      <x:c r="C11" s="9"/>
      <x:c r="D11" s="8"/>
      <x:c r="E11" s="8"/>
      <x:c r="F11" s="9"/>
      <x:c r="G11" s="10"/>
      <x:c r="H11" s="10" t="str">
        <x:f>IF(OR(C11="",G11=""),"",C11*G11)</x:f>
      </x:c>
      <x:c r="I11" s="8"/>
      <x:c r="J11" s="9"/>
      <x:c r="K11" s="10" t="str">
        <x:f>IF(OR(C11="",G11=""),"",MAX(C11-N(J11),0)*G11)</x:f>
      </x:c>
      <x:c r="L11" s="11" t="str">
        <x:f>IF(C11="","",IF(N(J11)&gt;=C11,"Yes","No"))</x:f>
      </x:c>
    </x:row>
    <x:row r="12">
      <x:c r="A12" s="8"/>
      <x:c r="B12" s="8"/>
      <x:c r="C12" s="9"/>
      <x:c r="D12" s="8"/>
      <x:c r="E12" s="8"/>
      <x:c r="F12" s="9"/>
      <x:c r="G12" s="10"/>
      <x:c r="H12" s="10" t="str">
        <x:f>IF(OR(C12="",G12=""),"",C12*G12)</x:f>
      </x:c>
      <x:c r="I12" s="8"/>
      <x:c r="J12" s="9"/>
      <x:c r="K12" s="10" t="str">
        <x:f>IF(OR(C12="",G12=""),"",MAX(C12-N(J12),0)*G12)</x:f>
      </x:c>
      <x:c r="L12" s="11" t="str">
        <x:f>IF(C12="","",IF(N(J12)&gt;=C12,"Yes","No"))</x:f>
      </x:c>
    </x:row>
    <x:row r="13">
      <x:c r="A13" s="8"/>
      <x:c r="B13" s="8"/>
      <x:c r="C13" s="9"/>
      <x:c r="D13" s="8"/>
      <x:c r="E13" s="8"/>
      <x:c r="F13" s="9"/>
      <x:c r="G13" s="10"/>
      <x:c r="H13" s="10" t="str">
        <x:f>IF(OR(C13="",G13=""),"",C13*G13)</x:f>
      </x:c>
      <x:c r="I13" s="8"/>
      <x:c r="J13" s="9"/>
      <x:c r="K13" s="10" t="str">
        <x:f>IF(OR(C13="",G13=""),"",MAX(C13-N(J13),0)*G13)</x:f>
      </x:c>
      <x:c r="L13" s="11" t="str">
        <x:f>IF(C13="","",IF(N(J13)&gt;=C13,"Yes","No"))</x:f>
      </x:c>
    </x:row>
    <x:row r="14">
      <x:c r="A14" s="8"/>
      <x:c r="B14" s="8"/>
      <x:c r="C14" s="9"/>
      <x:c r="D14" s="8"/>
      <x:c r="E14" s="8"/>
      <x:c r="F14" s="9"/>
      <x:c r="G14" s="10"/>
      <x:c r="H14" s="10" t="str">
        <x:f>IF(OR(C14="",G14=""),"",C14*G14)</x:f>
      </x:c>
      <x:c r="I14" s="8"/>
      <x:c r="J14" s="9"/>
      <x:c r="K14" s="10" t="str">
        <x:f>IF(OR(C14="",G14=""),"",MAX(C14-N(J14),0)*G14)</x:f>
      </x:c>
      <x:c r="L14" s="11" t="str">
        <x:f>IF(C14="","",IF(N(J14)&gt;=C14,"Yes","No"))</x:f>
      </x:c>
    </x:row>
    <x:row r="15">
      <x:c r="A15" s="8"/>
      <x:c r="B15" s="8"/>
      <x:c r="C15" s="9"/>
      <x:c r="D15" s="8"/>
      <x:c r="E15" s="8"/>
      <x:c r="F15" s="9"/>
      <x:c r="G15" s="10"/>
      <x:c r="H15" s="10" t="str">
        <x:f>IF(OR(C15="",G15=""),"",C15*G15)</x:f>
      </x:c>
      <x:c r="I15" s="8"/>
      <x:c r="J15" s="9"/>
      <x:c r="K15" s="10" t="str">
        <x:f>IF(OR(C15="",G15=""),"",MAX(C15-N(J15),0)*G15)</x:f>
      </x:c>
      <x:c r="L15" s="11" t="str">
        <x:f>IF(C15="","",IF(N(J15)&gt;=C15,"Yes","No"))</x:f>
      </x:c>
    </x:row>
    <x:row r="16">
      <x:c r="A16" s="8"/>
      <x:c r="B16" s="8"/>
      <x:c r="C16" s="9"/>
      <x:c r="D16" s="8"/>
      <x:c r="E16" s="8"/>
      <x:c r="F16" s="9"/>
      <x:c r="G16" s="10"/>
      <x:c r="H16" s="10" t="str">
        <x:f>IF(OR(C16="",G16=""),"",C16*G16)</x:f>
      </x:c>
      <x:c r="I16" s="8"/>
      <x:c r="J16" s="9"/>
      <x:c r="K16" s="10" t="str">
        <x:f>IF(OR(C16="",G16=""),"",MAX(C16-N(J16),0)*G16)</x:f>
      </x:c>
      <x:c r="L16" s="11" t="str">
        <x:f>IF(C16="","",IF(N(J16)&gt;=C16,"Yes","No"))</x:f>
      </x:c>
    </x:row>
    <x:row r="17">
      <x:c r="A17" s="8"/>
      <x:c r="B17" s="8"/>
      <x:c r="C17" s="9"/>
      <x:c r="D17" s="8"/>
      <x:c r="E17" s="8"/>
      <x:c r="F17" s="9"/>
      <x:c r="G17" s="10"/>
      <x:c r="H17" s="10" t="str">
        <x:f>IF(OR(C17="",G17=""),"",C17*G17)</x:f>
      </x:c>
      <x:c r="I17" s="8"/>
      <x:c r="J17" s="9"/>
      <x:c r="K17" s="10" t="str">
        <x:f>IF(OR(C17="",G17=""),"",MAX(C17-N(J17),0)*G17)</x:f>
      </x:c>
      <x:c r="L17" s="11" t="str">
        <x:f>IF(C17="","",IF(N(J17)&gt;=C17,"Yes","No"))</x:f>
      </x:c>
    </x:row>
    <x:row r="18">
      <x:c r="A18" s="8"/>
      <x:c r="B18" s="8"/>
      <x:c r="C18" s="9"/>
      <x:c r="D18" s="8"/>
      <x:c r="E18" s="8"/>
      <x:c r="F18" s="9"/>
      <x:c r="G18" s="10"/>
      <x:c r="H18" s="10" t="str">
        <x:f>IF(OR(C18="",G18=""),"",C18*G18)</x:f>
      </x:c>
      <x:c r="I18" s="8"/>
      <x:c r="J18" s="9"/>
      <x:c r="K18" s="10" t="str">
        <x:f>IF(OR(C18="",G18=""),"",MAX(C18-N(J18),0)*G18)</x:f>
      </x:c>
      <x:c r="L18" s="11" t="str">
        <x:f>IF(C18="","",IF(N(J18)&gt;=C18,"Yes","No"))</x:f>
      </x:c>
    </x:row>
    <x:row r="19">
      <x:c r="A19" s="8"/>
      <x:c r="B19" s="8"/>
      <x:c r="C19" s="9"/>
      <x:c r="D19" s="8"/>
      <x:c r="E19" s="8"/>
      <x:c r="F19" s="9"/>
      <x:c r="G19" s="10"/>
      <x:c r="H19" s="10" t="str">
        <x:f>IF(OR(C19="",G19=""),"",C19*G19)</x:f>
      </x:c>
      <x:c r="I19" s="8"/>
      <x:c r="J19" s="9"/>
      <x:c r="K19" s="10" t="str">
        <x:f>IF(OR(C19="",G19=""),"",MAX(C19-N(J19),0)*G19)</x:f>
      </x:c>
      <x:c r="L19" s="11" t="str">
        <x:f>IF(C19="","",IF(N(J19)&gt;=C19,"Yes","No"))</x:f>
      </x:c>
    </x:row>
    <x:row r="20">
      <x:c r="A20" s="8"/>
      <x:c r="B20" s="8"/>
      <x:c r="C20" s="9"/>
      <x:c r="D20" s="8"/>
      <x:c r="E20" s="8"/>
      <x:c r="F20" s="9"/>
      <x:c r="G20" s="10"/>
      <x:c r="H20" s="10" t="str">
        <x:f>IF(OR(C20="",G20=""),"",C20*G20)</x:f>
      </x:c>
      <x:c r="I20" s="8"/>
      <x:c r="J20" s="9"/>
      <x:c r="K20" s="10" t="str">
        <x:f>IF(OR(C20="",G20=""),"",MAX(C20-N(J20),0)*G20)</x:f>
      </x:c>
      <x:c r="L20" s="11" t="str">
        <x:f>IF(C20="","",IF(N(J20)&gt;=C20,"Yes","No"))</x:f>
      </x:c>
    </x:row>
    <x:row r="21">
      <x:c r="A21" s="8"/>
      <x:c r="B21" s="8"/>
      <x:c r="C21" s="9"/>
      <x:c r="D21" s="8"/>
      <x:c r="E21" s="8"/>
      <x:c r="F21" s="9"/>
      <x:c r="G21" s="10"/>
      <x:c r="H21" s="10" t="str">
        <x:f>IF(OR(C21="",G21=""),"",C21*G21)</x:f>
      </x:c>
      <x:c r="I21" s="8"/>
      <x:c r="J21" s="9"/>
      <x:c r="K21" s="10" t="str">
        <x:f>IF(OR(C21="",G21=""),"",MAX(C21-N(J21),0)*G21)</x:f>
      </x:c>
      <x:c r="L21" s="11" t="str">
        <x:f>IF(C21="","",IF(N(J21)&gt;=C21,"Yes","No"))</x:f>
      </x:c>
    </x:row>
    <x:row r="22">
      <x:c r="A22" s="8"/>
      <x:c r="B22" s="8"/>
      <x:c r="C22" s="9"/>
      <x:c r="D22" s="8"/>
      <x:c r="E22" s="8"/>
      <x:c r="F22" s="9"/>
      <x:c r="G22" s="10"/>
      <x:c r="H22" s="10" t="str">
        <x:f>IF(OR(C22="",G22=""),"",C22*G22)</x:f>
      </x:c>
      <x:c r="I22" s="8"/>
      <x:c r="J22" s="9"/>
      <x:c r="K22" s="10" t="str">
        <x:f>IF(OR(C22="",G22=""),"",MAX(C22-N(J22),0)*G22)</x:f>
      </x:c>
      <x:c r="L22" s="11" t="str">
        <x:f>IF(C22="","",IF(N(J22)&gt;=C22,"Yes","No"))</x:f>
      </x:c>
    </x:row>
    <x:row r="23">
      <x:c r="A23" s="8"/>
      <x:c r="B23" s="8"/>
      <x:c r="C23" s="9"/>
      <x:c r="D23" s="8"/>
      <x:c r="E23" s="8"/>
      <x:c r="F23" s="9"/>
      <x:c r="G23" s="10"/>
      <x:c r="H23" s="10" t="str">
        <x:f>IF(OR(C23="",G23=""),"",C23*G23)</x:f>
      </x:c>
      <x:c r="I23" s="8"/>
      <x:c r="J23" s="9"/>
      <x:c r="K23" s="10" t="str">
        <x:f>IF(OR(C23="",G23=""),"",MAX(C23-N(J23),0)*G23)</x:f>
      </x:c>
      <x:c r="L23" s="11" t="str">
        <x:f>IF(C23="","",IF(N(J23)&gt;=C23,"Yes","No"))</x:f>
      </x:c>
    </x:row>
    <x:row r="24">
      <x:c r="A24" s="8"/>
      <x:c r="B24" s="8"/>
      <x:c r="C24" s="9"/>
      <x:c r="D24" s="8"/>
      <x:c r="E24" s="8"/>
      <x:c r="F24" s="9"/>
      <x:c r="G24" s="10"/>
      <x:c r="H24" s="10" t="str">
        <x:f>IF(OR(C24="",G24=""),"",C24*G24)</x:f>
      </x:c>
      <x:c r="I24" s="8"/>
      <x:c r="J24" s="9"/>
      <x:c r="K24" s="10" t="str">
        <x:f>IF(OR(C24="",G24=""),"",MAX(C24-N(J24),0)*G24)</x:f>
      </x:c>
      <x:c r="L24" s="11" t="str">
        <x:f>IF(C24="","",IF(N(J24)&gt;=C24,"Yes","No"))</x:f>
      </x:c>
    </x:row>
    <x:row r="25">
      <x:c r="A25" s="8"/>
      <x:c r="B25" s="8"/>
      <x:c r="C25" s="9"/>
      <x:c r="D25" s="8"/>
      <x:c r="E25" s="8"/>
      <x:c r="F25" s="9"/>
      <x:c r="G25" s="10"/>
      <x:c r="H25" s="10" t="str">
        <x:f>IF(OR(C25="",G25=""),"",C25*G25)</x:f>
      </x:c>
      <x:c r="I25" s="8"/>
      <x:c r="J25" s="9"/>
      <x:c r="K25" s="10" t="str">
        <x:f>IF(OR(C25="",G25=""),"",MAX(C25-N(J25),0)*G25)</x:f>
      </x:c>
      <x:c r="L25" s="11" t="str">
        <x:f>IF(C25="","",IF(N(J25)&gt;=C25,"Yes","No"))</x:f>
      </x:c>
    </x:row>
    <x:row r="26">
      <x:c r="A26" s="8"/>
      <x:c r="B26" s="8"/>
      <x:c r="C26" s="9"/>
      <x:c r="D26" s="8"/>
      <x:c r="E26" s="8"/>
      <x:c r="F26" s="9"/>
      <x:c r="G26" s="10"/>
      <x:c r="H26" s="10" t="str">
        <x:f>IF(OR(C26="",G26=""),"",C26*G26)</x:f>
      </x:c>
      <x:c r="I26" s="8"/>
      <x:c r="J26" s="9"/>
      <x:c r="K26" s="10" t="str">
        <x:f>IF(OR(C26="",G26=""),"",MAX(C26-N(J26),0)*G26)</x:f>
      </x:c>
      <x:c r="L26" s="11" t="str">
        <x:f>IF(C26="","",IF(N(J26)&gt;=C26,"Yes","No"))</x:f>
      </x:c>
    </x:row>
    <x:row r="27">
      <x:c r="A27" s="8"/>
      <x:c r="B27" s="8"/>
      <x:c r="C27" s="9"/>
      <x:c r="D27" s="8"/>
      <x:c r="E27" s="8"/>
      <x:c r="F27" s="9"/>
      <x:c r="G27" s="10"/>
      <x:c r="H27" s="10" t="str">
        <x:f>IF(OR(C27="",G27=""),"",C27*G27)</x:f>
      </x:c>
      <x:c r="I27" s="8"/>
      <x:c r="J27" s="9"/>
      <x:c r="K27" s="10" t="str">
        <x:f>IF(OR(C27="",G27=""),"",MAX(C27-N(J27),0)*G27)</x:f>
      </x:c>
      <x:c r="L27" s="11" t="str">
        <x:f>IF(C27="","",IF(N(J27)&gt;=C27,"Yes","No"))</x:f>
      </x:c>
    </x:row>
    <x:row r="28">
      <x:c r="A28" s="8"/>
      <x:c r="B28" s="8"/>
      <x:c r="C28" s="9"/>
      <x:c r="D28" s="8"/>
      <x:c r="E28" s="8"/>
      <x:c r="F28" s="9"/>
      <x:c r="G28" s="10"/>
      <x:c r="H28" s="10" t="str">
        <x:f>IF(OR(C28="",G28=""),"",C28*G28)</x:f>
      </x:c>
      <x:c r="I28" s="8"/>
      <x:c r="J28" s="9"/>
      <x:c r="K28" s="10" t="str">
        <x:f>IF(OR(C28="",G28=""),"",MAX(C28-N(J28),0)*G28)</x:f>
      </x:c>
      <x:c r="L28" s="11" t="str">
        <x:f>IF(C28="","",IF(N(J28)&gt;=C28,"Yes","No"))</x:f>
      </x:c>
    </x:row>
    <x:row r="29">
      <x:c r="A29" s="8"/>
      <x:c r="B29" s="8"/>
      <x:c r="C29" s="9"/>
      <x:c r="D29" s="8"/>
      <x:c r="E29" s="8"/>
      <x:c r="F29" s="9"/>
      <x:c r="G29" s="10"/>
      <x:c r="H29" s="10" t="str">
        <x:f>IF(OR(C29="",G29=""),"",C29*G29)</x:f>
      </x:c>
      <x:c r="I29" s="8"/>
      <x:c r="J29" s="9"/>
      <x:c r="K29" s="10" t="str">
        <x:f>IF(OR(C29="",G29=""),"",MAX(C29-N(J29),0)*G29)</x:f>
      </x:c>
      <x:c r="L29" s="11" t="str">
        <x:f>IF(C29="","",IF(N(J29)&gt;=C29,"Yes","No"))</x:f>
      </x:c>
    </x:row>
    <x:row r="30">
      <x:c r="A30" s="8"/>
      <x:c r="B30" s="8"/>
      <x:c r="C30" s="9"/>
      <x:c r="D30" s="8"/>
      <x:c r="E30" s="8"/>
      <x:c r="F30" s="9"/>
      <x:c r="G30" s="10"/>
      <x:c r="H30" s="10" t="str">
        <x:f>IF(OR(C30="",G30=""),"",C30*G30)</x:f>
      </x:c>
      <x:c r="I30" s="8"/>
      <x:c r="J30" s="9"/>
      <x:c r="K30" s="10" t="str">
        <x:f>IF(OR(C30="",G30=""),"",MAX(C30-N(J30),0)*G30)</x:f>
      </x:c>
      <x:c r="L30" s="11" t="str">
        <x:f>IF(C30="","",IF(N(J30)&gt;=C30,"Yes","No"))</x:f>
      </x:c>
    </x:row>
    <x:row r="31">
      <x:c r="A31" s="8"/>
      <x:c r="B31" s="8"/>
      <x:c r="C31" s="9"/>
      <x:c r="D31" s="8"/>
      <x:c r="E31" s="8"/>
      <x:c r="F31" s="9"/>
      <x:c r="G31" s="10"/>
      <x:c r="H31" s="10" t="str">
        <x:f>IF(OR(C31="",G31=""),"",C31*G31)</x:f>
      </x:c>
      <x:c r="I31" s="8"/>
      <x:c r="J31" s="9"/>
      <x:c r="K31" s="10" t="str">
        <x:f>IF(OR(C31="",G31=""),"",MAX(C31-N(J31),0)*G31)</x:f>
      </x:c>
      <x:c r="L31" s="11" t="str">
        <x:f>IF(C31="","",IF(N(J31)&gt;=C31,"Yes","No"))</x:f>
      </x:c>
    </x:row>
    <x:row r="32">
      <x:c r="A32" s="8"/>
      <x:c r="B32" s="8"/>
      <x:c r="C32" s="9"/>
      <x:c r="D32" s="8"/>
      <x:c r="E32" s="8"/>
      <x:c r="F32" s="9"/>
      <x:c r="G32" s="10"/>
      <x:c r="H32" s="10" t="str">
        <x:f>IF(OR(C32="",G32=""),"",C32*G32)</x:f>
      </x:c>
      <x:c r="I32" s="8"/>
      <x:c r="J32" s="9"/>
      <x:c r="K32" s="10" t="str">
        <x:f>IF(OR(C32="",G32=""),"",MAX(C32-N(J32),0)*G32)</x:f>
      </x:c>
      <x:c r="L32" s="11" t="str">
        <x:f>IF(C32="","",IF(N(J32)&gt;=C32,"Yes","No"))</x:f>
      </x:c>
    </x:row>
    <x:row r="33">
      <x:c r="A33" s="8"/>
      <x:c r="B33" s="8"/>
      <x:c r="C33" s="9"/>
      <x:c r="D33" s="8"/>
      <x:c r="E33" s="8"/>
      <x:c r="F33" s="9"/>
      <x:c r="G33" s="10"/>
      <x:c r="H33" s="10" t="str">
        <x:f>IF(OR(C33="",G33=""),"",C33*G33)</x:f>
      </x:c>
      <x:c r="I33" s="8"/>
      <x:c r="J33" s="9"/>
      <x:c r="K33" s="10" t="str">
        <x:f>IF(OR(C33="",G33=""),"",MAX(C33-N(J33),0)*G33)</x:f>
      </x:c>
      <x:c r="L33" s="11" t="str">
        <x:f>IF(C33="","",IF(N(J33)&gt;=C33,"Yes","No"))</x:f>
      </x:c>
    </x:row>
    <x:row r="34">
      <x:c r="A34" s="8"/>
      <x:c r="B34" s="8"/>
      <x:c r="C34" s="9"/>
      <x:c r="D34" s="8"/>
      <x:c r="E34" s="8"/>
      <x:c r="F34" s="9"/>
      <x:c r="G34" s="10"/>
      <x:c r="H34" s="10" t="str">
        <x:f>IF(OR(C34="",G34=""),"",C34*G34)</x:f>
      </x:c>
      <x:c r="I34" s="8"/>
      <x:c r="J34" s="9"/>
      <x:c r="K34" s="10" t="str">
        <x:f>IF(OR(C34="",G34=""),"",MAX(C34-N(J34),0)*G34)</x:f>
      </x:c>
      <x:c r="L34" s="11" t="str">
        <x:f>IF(C34="","",IF(N(J34)&gt;=C34,"Yes","No"))</x:f>
      </x:c>
    </x:row>
    <x:row r="35">
      <x:c r="A35" s="8"/>
      <x:c r="B35" s="8"/>
      <x:c r="C35" s="9"/>
      <x:c r="D35" s="8"/>
      <x:c r="E35" s="8"/>
      <x:c r="F35" s="9"/>
      <x:c r="G35" s="10"/>
      <x:c r="H35" s="10" t="str">
        <x:f>IF(OR(C35="",G35=""),"",C35*G35)</x:f>
      </x:c>
      <x:c r="I35" s="8"/>
      <x:c r="J35" s="9"/>
      <x:c r="K35" s="10" t="str">
        <x:f>IF(OR(C35="",G35=""),"",MAX(C35-N(J35),0)*G35)</x:f>
      </x:c>
      <x:c r="L35" s="11" t="str">
        <x:f>IF(C35="","",IF(N(J35)&gt;=C35,"Yes","No"))</x:f>
      </x:c>
    </x:row>
    <x:row r="36">
      <x:c r="A36" s="8"/>
      <x:c r="B36" s="8"/>
      <x:c r="C36" s="9"/>
      <x:c r="D36" s="8"/>
      <x:c r="E36" s="8"/>
      <x:c r="F36" s="9"/>
      <x:c r="G36" s="10"/>
      <x:c r="H36" s="10" t="str">
        <x:f>IF(OR(C36="",G36=""),"",C36*G36)</x:f>
      </x:c>
      <x:c r="I36" s="8"/>
      <x:c r="J36" s="9"/>
      <x:c r="K36" s="10" t="str">
        <x:f>IF(OR(C36="",G36=""),"",MAX(C36-N(J36),0)*G36)</x:f>
      </x:c>
      <x:c r="L36" s="11" t="str">
        <x:f>IF(C36="","",IF(N(J36)&gt;=C36,"Yes","No"))</x:f>
      </x:c>
    </x:row>
    <x:row r="37">
      <x:c r="A37" s="8"/>
      <x:c r="B37" s="8"/>
      <x:c r="C37" s="9"/>
      <x:c r="D37" s="8"/>
      <x:c r="E37" s="8"/>
      <x:c r="F37" s="9"/>
      <x:c r="G37" s="10"/>
      <x:c r="H37" s="10" t="str">
        <x:f>IF(OR(C37="",G37=""),"",C37*G37)</x:f>
      </x:c>
      <x:c r="I37" s="8"/>
      <x:c r="J37" s="9"/>
      <x:c r="K37" s="10" t="str">
        <x:f>IF(OR(C37="",G37=""),"",MAX(C37-N(J37),0)*G37)</x:f>
      </x:c>
      <x:c r="L37" s="11" t="str">
        <x:f>IF(C37="","",IF(N(J37)&gt;=C37,"Yes","No"))</x:f>
      </x:c>
    </x:row>
    <x:row r="38">
      <x:c r="A38" s="8"/>
      <x:c r="B38" s="8"/>
      <x:c r="C38" s="9"/>
      <x:c r="D38" s="8"/>
      <x:c r="E38" s="8"/>
      <x:c r="F38" s="9"/>
      <x:c r="G38" s="10"/>
      <x:c r="H38" s="10" t="str">
        <x:f>IF(OR(C38="",G38=""),"",C38*G38)</x:f>
      </x:c>
      <x:c r="I38" s="8"/>
      <x:c r="J38" s="9"/>
      <x:c r="K38" s="10" t="str">
        <x:f>IF(OR(C38="",G38=""),"",MAX(C38-N(J38),0)*G38)</x:f>
      </x:c>
      <x:c r="L38" s="11" t="str">
        <x:f>IF(C38="","",IF(N(J38)&gt;=C38,"Yes","No"))</x:f>
      </x:c>
    </x:row>
    <x:row r="39">
      <x:c r="A39" s="8"/>
      <x:c r="B39" s="8"/>
      <x:c r="C39" s="9"/>
      <x:c r="D39" s="8"/>
      <x:c r="E39" s="8"/>
      <x:c r="F39" s="9"/>
      <x:c r="G39" s="10"/>
      <x:c r="H39" s="10" t="str">
        <x:f>IF(OR(C39="",G39=""),"",C39*G39)</x:f>
      </x:c>
      <x:c r="I39" s="8"/>
      <x:c r="J39" s="9"/>
      <x:c r="K39" s="10" t="str">
        <x:f>IF(OR(C39="",G39=""),"",MAX(C39-N(J39),0)*G39)</x:f>
      </x:c>
      <x:c r="L39" s="11" t="str">
        <x:f>IF(C39="","",IF(N(J39)&gt;=C39,"Yes","No"))</x:f>
      </x:c>
    </x:row>
    <x:row r="40">
      <x:c r="A40" s="8"/>
      <x:c r="B40" s="8"/>
      <x:c r="C40" s="9"/>
      <x:c r="D40" s="8"/>
      <x:c r="E40" s="8"/>
      <x:c r="F40" s="9"/>
      <x:c r="G40" s="10"/>
      <x:c r="H40" s="10" t="str">
        <x:f>IF(OR(C40="",G40=""),"",C40*G40)</x:f>
      </x:c>
      <x:c r="I40" s="8"/>
      <x:c r="J40" s="9"/>
      <x:c r="K40" s="10" t="str">
        <x:f>IF(OR(C40="",G40=""),"",MAX(C40-N(J40),0)*G40)</x:f>
      </x:c>
      <x:c r="L40" s="11" t="str">
        <x:f>IF(C40="","",IF(N(J40)&gt;=C40,"Yes","No"))</x:f>
      </x:c>
    </x:row>
    <x:row r="41">
      <x:c r="A41" s="8"/>
      <x:c r="B41" s="8"/>
      <x:c r="C41" s="9"/>
      <x:c r="D41" s="8"/>
      <x:c r="E41" s="8"/>
      <x:c r="F41" s="9"/>
      <x:c r="G41" s="10"/>
      <x:c r="H41" s="10" t="str">
        <x:f>IF(OR(C41="",G41=""),"",C41*G41)</x:f>
      </x:c>
      <x:c r="I41" s="8"/>
      <x:c r="J41" s="9"/>
      <x:c r="K41" s="10" t="str">
        <x:f>IF(OR(C41="",G41=""),"",MAX(C41-N(J41),0)*G41)</x:f>
      </x:c>
      <x:c r="L41" s="11" t="str">
        <x:f>IF(C41="","",IF(N(J41)&gt;=C41,"Yes","No"))</x:f>
      </x:c>
    </x:row>
    <x:row r="42">
      <x:c r="A42" s="8"/>
      <x:c r="B42" s="8"/>
      <x:c r="C42" s="9"/>
      <x:c r="D42" s="8"/>
      <x:c r="E42" s="8"/>
      <x:c r="F42" s="9"/>
      <x:c r="G42" s="10"/>
      <x:c r="H42" s="10" t="str">
        <x:f>IF(OR(C42="",G42=""),"",C42*G42)</x:f>
      </x:c>
      <x:c r="I42" s="8"/>
      <x:c r="J42" s="9"/>
      <x:c r="K42" s="10" t="str">
        <x:f>IF(OR(C42="",G42=""),"",MAX(C42-N(J42),0)*G42)</x:f>
      </x:c>
      <x:c r="L42" s="11" t="str">
        <x:f>IF(C42="","",IF(N(J42)&gt;=C42,"Yes","No"))</x:f>
      </x:c>
    </x:row>
    <x:row r="43">
      <x:c r="A43" s="8"/>
      <x:c r="B43" s="8"/>
      <x:c r="C43" s="9"/>
      <x:c r="D43" s="8"/>
      <x:c r="E43" s="8"/>
      <x:c r="F43" s="9"/>
      <x:c r="G43" s="10"/>
      <x:c r="H43" s="10" t="str">
        <x:f>IF(OR(C43="",G43=""),"",C43*G43)</x:f>
      </x:c>
      <x:c r="I43" s="8"/>
      <x:c r="J43" s="9"/>
      <x:c r="K43" s="10" t="str">
        <x:f>IF(OR(C43="",G43=""),"",MAX(C43-N(J43),0)*G43)</x:f>
      </x:c>
      <x:c r="L43" s="11" t="str">
        <x:f>IF(C43="","",IF(N(J43)&gt;=C43,"Yes","No"))</x:f>
      </x:c>
    </x:row>
    <x:row r="44">
      <x:c r="A44" s="8"/>
      <x:c r="B44" s="8"/>
      <x:c r="C44" s="9"/>
      <x:c r="D44" s="8"/>
      <x:c r="E44" s="8"/>
      <x:c r="F44" s="9"/>
      <x:c r="G44" s="10"/>
      <x:c r="H44" s="10" t="str">
        <x:f>IF(OR(C44="",G44=""),"",C44*G44)</x:f>
      </x:c>
      <x:c r="I44" s="8"/>
      <x:c r="J44" s="9"/>
      <x:c r="K44" s="10" t="str">
        <x:f>IF(OR(C44="",G44=""),"",MAX(C44-N(J44),0)*G44)</x:f>
      </x:c>
      <x:c r="L44" s="11" t="str">
        <x:f>IF(C44="","",IF(N(J44)&gt;=C44,"Yes","No"))</x:f>
      </x:c>
    </x:row>
    <x:row r="45">
      <x:c r="A45" s="8"/>
      <x:c r="B45" s="8"/>
      <x:c r="C45" s="9"/>
      <x:c r="D45" s="8"/>
      <x:c r="E45" s="8"/>
      <x:c r="F45" s="9"/>
      <x:c r="G45" s="10"/>
      <x:c r="H45" s="10" t="str">
        <x:f>IF(OR(C45="",G45=""),"",C45*G45)</x:f>
      </x:c>
      <x:c r="I45" s="8"/>
      <x:c r="J45" s="9"/>
      <x:c r="K45" s="10" t="str">
        <x:f>IF(OR(C45="",G45=""),"",MAX(C45-N(J45),0)*G45)</x:f>
      </x:c>
      <x:c r="L45" s="11" t="str">
        <x:f>IF(C45="","",IF(N(J45)&gt;=C45,"Yes","No"))</x:f>
      </x:c>
    </x:row>
    <x:row r="46">
      <x:c r="A46" s="8"/>
      <x:c r="B46" s="8"/>
      <x:c r="C46" s="9"/>
      <x:c r="D46" s="8"/>
      <x:c r="E46" s="8"/>
      <x:c r="F46" s="9"/>
      <x:c r="G46" s="10"/>
      <x:c r="H46" s="10" t="str">
        <x:f>IF(OR(C46="",G46=""),"",C46*G46)</x:f>
      </x:c>
      <x:c r="I46" s="8"/>
      <x:c r="J46" s="9"/>
      <x:c r="K46" s="10" t="str">
        <x:f>IF(OR(C46="",G46=""),"",MAX(C46-N(J46),0)*G46)</x:f>
      </x:c>
      <x:c r="L46" s="11" t="str">
        <x:f>IF(C46="","",IF(N(J46)&gt;=C46,"Yes","No"))</x:f>
      </x:c>
    </x:row>
    <x:row r="47">
      <x:c r="A47" s="8"/>
      <x:c r="B47" s="8"/>
      <x:c r="C47" s="9"/>
      <x:c r="D47" s="8"/>
      <x:c r="E47" s="8"/>
      <x:c r="F47" s="9"/>
      <x:c r="G47" s="10"/>
      <x:c r="H47" s="10" t="str">
        <x:f>IF(OR(C47="",G47=""),"",C47*G47)</x:f>
      </x:c>
      <x:c r="I47" s="8"/>
      <x:c r="J47" s="9"/>
      <x:c r="K47" s="10" t="str">
        <x:f>IF(OR(C47="",G47=""),"",MAX(C47-N(J47),0)*G47)</x:f>
      </x:c>
      <x:c r="L47" s="11" t="str">
        <x:f>IF(C47="","",IF(N(J47)&gt;=C47,"Yes","No"))</x:f>
      </x:c>
    </x:row>
    <x:row r="48">
      <x:c r="A48" s="8"/>
      <x:c r="B48" s="8"/>
      <x:c r="C48" s="9"/>
      <x:c r="D48" s="8"/>
      <x:c r="E48" s="8"/>
      <x:c r="F48" s="9"/>
      <x:c r="G48" s="10"/>
      <x:c r="H48" s="10" t="str">
        <x:f>IF(OR(C48="",G48=""),"",C48*G48)</x:f>
      </x:c>
      <x:c r="I48" s="8"/>
      <x:c r="J48" s="9"/>
      <x:c r="K48" s="10" t="str">
        <x:f>IF(OR(C48="",G48=""),"",MAX(C48-N(J48),0)*G48)</x:f>
      </x:c>
      <x:c r="L48" s="11" t="str">
        <x:f>IF(C48="","",IF(N(J48)&gt;=C48,"Yes","No"))</x:f>
      </x:c>
    </x:row>
    <x:row r="49">
      <x:c r="A49" s="8"/>
      <x:c r="B49" s="8"/>
      <x:c r="C49" s="9"/>
      <x:c r="D49" s="8"/>
      <x:c r="E49" s="8"/>
      <x:c r="F49" s="9"/>
      <x:c r="G49" s="10"/>
      <x:c r="H49" s="10" t="str">
        <x:f>IF(OR(C49="",G49=""),"",C49*G49)</x:f>
      </x:c>
      <x:c r="I49" s="8"/>
      <x:c r="J49" s="9"/>
      <x:c r="K49" s="10" t="str">
        <x:f>IF(OR(C49="",G49=""),"",MAX(C49-N(J49),0)*G49)</x:f>
      </x:c>
      <x:c r="L49" s="11" t="str">
        <x:f>IF(C49="","",IF(N(J49)&gt;=C49,"Yes","No"))</x:f>
      </x:c>
    </x:row>
    <x:row r="50">
      <x:c r="A50" s="8"/>
      <x:c r="B50" s="8"/>
      <x:c r="C50" s="9"/>
      <x:c r="D50" s="8"/>
      <x:c r="E50" s="8"/>
      <x:c r="F50" s="9"/>
      <x:c r="G50" s="10"/>
      <x:c r="H50" s="10" t="str">
        <x:f>IF(OR(C50="",G50=""),"",C50*G50)</x:f>
      </x:c>
      <x:c r="I50" s="8"/>
      <x:c r="J50" s="9"/>
      <x:c r="K50" s="10" t="str">
        <x:f>IF(OR(C50="",G50=""),"",MAX(C50-N(J50),0)*G50)</x:f>
      </x:c>
      <x:c r="L50" s="11" t="str">
        <x:f>IF(C50="","",IF(N(J50)&gt;=C50,"Yes","No"))</x:f>
      </x:c>
    </x:row>
    <x:row r="51">
      <x:c r="A51" s="8"/>
      <x:c r="B51" s="8"/>
      <x:c r="C51" s="9"/>
      <x:c r="D51" s="8"/>
      <x:c r="E51" s="8"/>
      <x:c r="F51" s="9"/>
      <x:c r="G51" s="10"/>
      <x:c r="H51" s="10" t="str">
        <x:f>IF(OR(C51="",G51=""),"",C51*G51)</x:f>
      </x:c>
      <x:c r="I51" s="8"/>
      <x:c r="J51" s="9"/>
      <x:c r="K51" s="10" t="str">
        <x:f>IF(OR(C51="",G51=""),"",MAX(C51-N(J51),0)*G51)</x:f>
      </x:c>
      <x:c r="L51" s="11" t="str">
        <x:f>IF(C51="","",IF(N(J51)&gt;=C51,"Yes","No"))</x:f>
      </x:c>
    </x:row>
    <x:row r="52">
      <x:c r="A52" s="8"/>
      <x:c r="B52" s="8"/>
      <x:c r="C52" s="9"/>
      <x:c r="D52" s="8"/>
      <x:c r="E52" s="8"/>
      <x:c r="F52" s="9"/>
      <x:c r="G52" s="10"/>
      <x:c r="H52" s="10" t="str">
        <x:f>IF(OR(C52="",G52=""),"",C52*G52)</x:f>
      </x:c>
      <x:c r="I52" s="8"/>
      <x:c r="J52" s="9"/>
      <x:c r="K52" s="10" t="str">
        <x:f>IF(OR(C52="",G52=""),"",MAX(C52-N(J52),0)*G52)</x:f>
      </x:c>
      <x:c r="L52" s="11" t="str">
        <x:f>IF(C52="","",IF(N(J52)&gt;=C52,"Yes","No"))</x:f>
      </x:c>
    </x:row>
    <x:row r="53">
      <x:c r="A53" s="8"/>
      <x:c r="B53" s="8"/>
      <x:c r="C53" s="9"/>
      <x:c r="D53" s="8"/>
      <x:c r="E53" s="8"/>
      <x:c r="F53" s="9"/>
      <x:c r="G53" s="10"/>
      <x:c r="H53" s="10" t="str">
        <x:f>IF(OR(C53="",G53=""),"",C53*G53)</x:f>
      </x:c>
      <x:c r="I53" s="8"/>
      <x:c r="J53" s="9"/>
      <x:c r="K53" s="10" t="str">
        <x:f>IF(OR(C53="",G53=""),"",MAX(C53-N(J53),0)*G53)</x:f>
      </x:c>
      <x:c r="L53" s="11" t="str">
        <x:f>IF(C53="","",IF(N(J53)&gt;=C53,"Yes","No"))</x:f>
      </x:c>
    </x:row>
    <x:row r="54">
      <x:c r="A54" s="8"/>
      <x:c r="B54" s="8"/>
      <x:c r="C54" s="9"/>
      <x:c r="D54" s="8"/>
      <x:c r="E54" s="8"/>
      <x:c r="F54" s="9"/>
      <x:c r="G54" s="10"/>
      <x:c r="H54" s="10" t="str">
        <x:f>IF(OR(C54="",G54=""),"",C54*G54)</x:f>
      </x:c>
      <x:c r="I54" s="8"/>
      <x:c r="J54" s="9"/>
      <x:c r="K54" s="10" t="str">
        <x:f>IF(OR(C54="",G54=""),"",MAX(C54-N(J54),0)*G54)</x:f>
      </x:c>
      <x:c r="L54" s="11" t="str">
        <x:f>IF(C54="","",IF(N(J54)&gt;=C54,"Yes","No"))</x:f>
      </x:c>
    </x:row>
    <x:row r="55">
      <x:c r="A55" s="8"/>
      <x:c r="B55" s="8"/>
      <x:c r="C55" s="9"/>
      <x:c r="D55" s="8"/>
      <x:c r="E55" s="8"/>
      <x:c r="F55" s="9"/>
      <x:c r="G55" s="10"/>
      <x:c r="H55" s="10" t="str">
        <x:f>IF(OR(C55="",G55=""),"",C55*G55)</x:f>
      </x:c>
      <x:c r="I55" s="8"/>
      <x:c r="J55" s="9"/>
      <x:c r="K55" s="10" t="str">
        <x:f>IF(OR(C55="",G55=""),"",MAX(C55-N(J55),0)*G55)</x:f>
      </x:c>
      <x:c r="L55" s="11" t="str">
        <x:f>IF(C55="","",IF(N(J55)&gt;=C55,"Yes","No"))</x:f>
      </x:c>
    </x:row>
    <x:row r="56">
      <x:c r="A56" s="8"/>
      <x:c r="B56" s="8"/>
      <x:c r="C56" s="9"/>
      <x:c r="D56" s="8"/>
      <x:c r="E56" s="8"/>
      <x:c r="F56" s="9"/>
      <x:c r="G56" s="10"/>
      <x:c r="H56" s="10" t="str">
        <x:f>IF(OR(C56="",G56=""),"",C56*G56)</x:f>
      </x:c>
      <x:c r="I56" s="8"/>
      <x:c r="J56" s="9"/>
      <x:c r="K56" s="10" t="str">
        <x:f>IF(OR(C56="",G56=""),"",MAX(C56-N(J56),0)*G56)</x:f>
      </x:c>
      <x:c r="L56" s="11" t="str">
        <x:f>IF(C56="","",IF(N(J56)&gt;=C56,"Yes","No"))</x:f>
      </x:c>
    </x:row>
    <x:row r="57">
      <x:c r="A57" s="8"/>
      <x:c r="B57" s="8"/>
      <x:c r="C57" s="9"/>
      <x:c r="D57" s="8"/>
      <x:c r="E57" s="8"/>
      <x:c r="F57" s="9"/>
      <x:c r="G57" s="10"/>
      <x:c r="H57" s="10" t="str">
        <x:f>IF(OR(C57="",G57=""),"",C57*G57)</x:f>
      </x:c>
      <x:c r="I57" s="8"/>
      <x:c r="J57" s="9"/>
      <x:c r="K57" s="10" t="str">
        <x:f>IF(OR(C57="",G57=""),"",MAX(C57-N(J57),0)*G57)</x:f>
      </x:c>
      <x:c r="L57" s="11" t="str">
        <x:f>IF(C57="","",IF(N(J57)&gt;=C57,"Yes","No"))</x:f>
      </x:c>
    </x:row>
    <x:row r="58">
      <x:c r="A58" s="8"/>
      <x:c r="B58" s="8"/>
      <x:c r="C58" s="9"/>
      <x:c r="D58" s="8"/>
      <x:c r="E58" s="8"/>
      <x:c r="F58" s="9"/>
      <x:c r="G58" s="10"/>
      <x:c r="H58" s="10" t="str">
        <x:f>IF(OR(C58="",G58=""),"",C58*G58)</x:f>
      </x:c>
      <x:c r="I58" s="8"/>
      <x:c r="J58" s="9"/>
      <x:c r="K58" s="10" t="str">
        <x:f>IF(OR(C58="",G58=""),"",MAX(C58-N(J58),0)*G58)</x:f>
      </x:c>
      <x:c r="L58" s="11" t="str">
        <x:f>IF(C58="","",IF(N(J58)&gt;=C58,"Yes","No"))</x:f>
      </x:c>
    </x:row>
    <x:row r="59">
      <x:c r="A59" s="8"/>
      <x:c r="B59" s="8"/>
      <x:c r="C59" s="9"/>
      <x:c r="D59" s="8"/>
      <x:c r="E59" s="8"/>
      <x:c r="F59" s="9"/>
      <x:c r="G59" s="10"/>
      <x:c r="H59" s="10" t="str">
        <x:f>IF(OR(C59="",G59=""),"",C59*G59)</x:f>
      </x:c>
      <x:c r="I59" s="8"/>
      <x:c r="J59" s="9"/>
      <x:c r="K59" s="10" t="str">
        <x:f>IF(OR(C59="",G59=""),"",MAX(C59-N(J59),0)*G59)</x:f>
      </x:c>
      <x:c r="L59" s="11" t="str">
        <x:f>IF(C59="","",IF(N(J59)&gt;=C59,"Yes","No"))</x:f>
      </x:c>
    </x:row>
    <x:row r="60">
      <x:c r="A60" s="8"/>
      <x:c r="B60" s="8"/>
      <x:c r="C60" s="9"/>
      <x:c r="D60" s="8"/>
      <x:c r="E60" s="8"/>
      <x:c r="F60" s="9"/>
      <x:c r="G60" s="10"/>
      <x:c r="H60" s="10" t="str">
        <x:f>IF(OR(C60="",G60=""),"",C60*G60)</x:f>
      </x:c>
      <x:c r="I60" s="8"/>
      <x:c r="J60" s="9"/>
      <x:c r="K60" s="10" t="str">
        <x:f>IF(OR(C60="",G60=""),"",MAX(C60-N(J60),0)*G60)</x:f>
      </x:c>
      <x:c r="L60" s="11" t="str">
        <x:f>IF(C60="","",IF(N(J60)&gt;=C60,"Yes","No"))</x:f>
      </x:c>
    </x:row>
    <x:row r="61">
      <x:c r="A61" s="8"/>
      <x:c r="B61" s="8"/>
      <x:c r="C61" s="9"/>
      <x:c r="D61" s="8"/>
      <x:c r="E61" s="8"/>
      <x:c r="F61" s="9"/>
      <x:c r="G61" s="10"/>
      <x:c r="H61" s="10" t="str">
        <x:f>IF(OR(C61="",G61=""),"",C61*G61)</x:f>
      </x:c>
      <x:c r="I61" s="8"/>
      <x:c r="J61" s="9"/>
      <x:c r="K61" s="10" t="str">
        <x:f>IF(OR(C61="",G61=""),"",MAX(C61-N(J61),0)*G61)</x:f>
      </x:c>
      <x:c r="L61" s="11" t="str">
        <x:f>IF(C61="","",IF(N(J61)&gt;=C61,"Yes","No"))</x:f>
      </x:c>
    </x:row>
    <x:row r="62">
      <x:c r="A62" s="8"/>
      <x:c r="B62" s="8"/>
      <x:c r="C62" s="9"/>
      <x:c r="D62" s="8"/>
      <x:c r="E62" s="8"/>
      <x:c r="F62" s="9"/>
      <x:c r="G62" s="10"/>
      <x:c r="H62" s="10" t="str">
        <x:f>IF(OR(C62="",G62=""),"",C62*G62)</x:f>
      </x:c>
      <x:c r="I62" s="8"/>
      <x:c r="J62" s="9"/>
      <x:c r="K62" s="10" t="str">
        <x:f>IF(OR(C62="",G62=""),"",MAX(C62-N(J62),0)*G62)</x:f>
      </x:c>
      <x:c r="L62" s="11" t="str">
        <x:f>IF(C62="","",IF(N(J62)&gt;=C62,"Yes","No"))</x:f>
      </x:c>
    </x:row>
    <x:row r="63">
      <x:c r="A63" s="8"/>
      <x:c r="B63" s="8"/>
      <x:c r="C63" s="9"/>
      <x:c r="D63" s="8"/>
      <x:c r="E63" s="8"/>
      <x:c r="F63" s="9"/>
      <x:c r="G63" s="10"/>
      <x:c r="H63" s="10" t="str">
        <x:f>IF(OR(C63="",G63=""),"",C63*G63)</x:f>
      </x:c>
      <x:c r="I63" s="8"/>
      <x:c r="J63" s="9"/>
      <x:c r="K63" s="10" t="str">
        <x:f>IF(OR(C63="",G63=""),"",MAX(C63-N(J63),0)*G63)</x:f>
      </x:c>
      <x:c r="L63" s="11" t="str">
        <x:f>IF(C63="","",IF(N(J63)&gt;=C63,"Yes","No"))</x:f>
      </x:c>
    </x:row>
    <x:row r="64">
      <x:c r="A64" s="8"/>
      <x:c r="B64" s="8"/>
      <x:c r="C64" s="9"/>
      <x:c r="D64" s="8"/>
      <x:c r="E64" s="8"/>
      <x:c r="F64" s="9"/>
      <x:c r="G64" s="10"/>
      <x:c r="H64" s="10" t="str">
        <x:f>IF(OR(C64="",G64=""),"",C64*G64)</x:f>
      </x:c>
      <x:c r="I64" s="8"/>
      <x:c r="J64" s="9"/>
      <x:c r="K64" s="10" t="str">
        <x:f>IF(OR(C64="",G64=""),"",MAX(C64-N(J64),0)*G64)</x:f>
      </x:c>
      <x:c r="L64" s="11" t="str">
        <x:f>IF(C64="","",IF(N(J64)&gt;=C64,"Yes","No"))</x:f>
      </x:c>
    </x:row>
    <x:row r="65">
      <x:c r="A65" s="8"/>
      <x:c r="B65" s="8"/>
      <x:c r="C65" s="9"/>
      <x:c r="D65" s="8"/>
      <x:c r="E65" s="8"/>
      <x:c r="F65" s="9"/>
      <x:c r="G65" s="10"/>
      <x:c r="H65" s="10" t="str">
        <x:f>IF(OR(C65="",G65=""),"",C65*G65)</x:f>
      </x:c>
      <x:c r="I65" s="8"/>
      <x:c r="J65" s="9"/>
      <x:c r="K65" s="10" t="str">
        <x:f>IF(OR(C65="",G65=""),"",MAX(C65-N(J65),0)*G65)</x:f>
      </x:c>
      <x:c r="L65" s="11" t="str">
        <x:f>IF(C65="","",IF(N(J65)&gt;=C65,"Yes","No"))</x:f>
      </x:c>
    </x:row>
    <x:row r="66">
      <x:c r="A66" s="8"/>
      <x:c r="B66" s="8"/>
      <x:c r="C66" s="9"/>
      <x:c r="D66" s="8"/>
      <x:c r="E66" s="8"/>
      <x:c r="F66" s="9"/>
      <x:c r="G66" s="10"/>
      <x:c r="H66" s="10" t="str">
        <x:f>IF(OR(C66="",G66=""),"",C66*G66)</x:f>
      </x:c>
      <x:c r="I66" s="8"/>
      <x:c r="J66" s="9"/>
      <x:c r="K66" s="10" t="str">
        <x:f>IF(OR(C66="",G66=""),"",MAX(C66-N(J66),0)*G66)</x:f>
      </x:c>
      <x:c r="L66" s="11" t="str">
        <x:f>IF(C66="","",IF(N(J66)&gt;=C66,"Yes","No"))</x:f>
      </x:c>
    </x:row>
    <x:row r="67">
      <x:c r="A67" s="8"/>
      <x:c r="B67" s="8"/>
      <x:c r="C67" s="9"/>
      <x:c r="D67" s="8"/>
      <x:c r="E67" s="8"/>
      <x:c r="F67" s="9"/>
      <x:c r="G67" s="10"/>
      <x:c r="H67" s="10" t="str">
        <x:f>IF(OR(C67="",G67=""),"",C67*G67)</x:f>
      </x:c>
      <x:c r="I67" s="8"/>
      <x:c r="J67" s="9"/>
      <x:c r="K67" s="10" t="str">
        <x:f>IF(OR(C67="",G67=""),"",MAX(C67-N(J67),0)*G67)</x:f>
      </x:c>
      <x:c r="L67" s="11" t="str">
        <x:f>IF(C67="","",IF(N(J67)&gt;=C67,"Yes","No"))</x:f>
      </x:c>
    </x:row>
    <x:row r="68">
      <x:c r="A68" s="8"/>
      <x:c r="B68" s="8"/>
      <x:c r="C68" s="9"/>
      <x:c r="D68" s="8"/>
      <x:c r="E68" s="8"/>
      <x:c r="F68" s="9"/>
      <x:c r="G68" s="10"/>
      <x:c r="H68" s="10" t="str">
        <x:f>IF(OR(C68="",G68=""),"",C68*G68)</x:f>
      </x:c>
      <x:c r="I68" s="8"/>
      <x:c r="J68" s="9"/>
      <x:c r="K68" s="10" t="str">
        <x:f>IF(OR(C68="",G68=""),"",MAX(C68-N(J68),0)*G68)</x:f>
      </x:c>
      <x:c r="L68" s="11" t="str">
        <x:f>IF(C68="","",IF(N(J68)&gt;=C68,"Yes","No"))</x:f>
      </x:c>
    </x:row>
    <x:row r="69">
      <x:c r="A69" s="8"/>
      <x:c r="B69" s="8"/>
      <x:c r="C69" s="9"/>
      <x:c r="D69" s="8"/>
      <x:c r="E69" s="8"/>
      <x:c r="F69" s="9"/>
      <x:c r="G69" s="10"/>
      <x:c r="H69" s="10" t="str">
        <x:f>IF(OR(C69="",G69=""),"",C69*G69)</x:f>
      </x:c>
      <x:c r="I69" s="8"/>
      <x:c r="J69" s="9"/>
      <x:c r="K69" s="10" t="str">
        <x:f>IF(OR(C69="",G69=""),"",MAX(C69-N(J69),0)*G69)</x:f>
      </x:c>
      <x:c r="L69" s="11" t="str">
        <x:f>IF(C69="","",IF(N(J69)&gt;=C69,"Yes","No"))</x:f>
      </x:c>
    </x:row>
    <x:row r="70">
      <x:c r="A70" s="8"/>
      <x:c r="B70" s="8"/>
      <x:c r="C70" s="9"/>
      <x:c r="D70" s="8"/>
      <x:c r="E70" s="8"/>
      <x:c r="F70" s="9"/>
      <x:c r="G70" s="10"/>
      <x:c r="H70" s="10" t="str">
        <x:f>IF(OR(C70="",G70=""),"",C70*G70)</x:f>
      </x:c>
      <x:c r="I70" s="8"/>
      <x:c r="J70" s="9"/>
      <x:c r="K70" s="10" t="str">
        <x:f>IF(OR(C70="",G70=""),"",MAX(C70-N(J70),0)*G70)</x:f>
      </x:c>
      <x:c r="L70" s="11" t="str">
        <x:f>IF(C70="","",IF(N(J70)&gt;=C70,"Yes","No"))</x:f>
      </x:c>
    </x:row>
    <x:row r="71">
      <x:c r="A71" s="8"/>
      <x:c r="B71" s="8"/>
      <x:c r="C71" s="9"/>
      <x:c r="D71" s="8"/>
      <x:c r="E71" s="8"/>
      <x:c r="F71" s="9"/>
      <x:c r="G71" s="10"/>
      <x:c r="H71" s="10" t="str">
        <x:f>IF(OR(C71="",G71=""),"",C71*G71)</x:f>
      </x:c>
      <x:c r="I71" s="8"/>
      <x:c r="J71" s="9"/>
      <x:c r="K71" s="10" t="str">
        <x:f>IF(OR(C71="",G71=""),"",MAX(C71-N(J71),0)*G71)</x:f>
      </x:c>
      <x:c r="L71" s="11" t="str">
        <x:f>IF(C71="","",IF(N(J71)&gt;=C71,"Yes","No"))</x:f>
      </x:c>
    </x:row>
    <x:row r="72">
      <x:c r="A72" s="8"/>
      <x:c r="B72" s="8"/>
      <x:c r="C72" s="9"/>
      <x:c r="D72" s="8"/>
      <x:c r="E72" s="8"/>
      <x:c r="F72" s="9"/>
      <x:c r="G72" s="10"/>
      <x:c r="H72" s="10" t="str">
        <x:f>IF(OR(C72="",G72=""),"",C72*G72)</x:f>
      </x:c>
      <x:c r="I72" s="8"/>
      <x:c r="J72" s="9"/>
      <x:c r="K72" s="10" t="str">
        <x:f>IF(OR(C72="",G72=""),"",MAX(C72-N(J72),0)*G72)</x:f>
      </x:c>
      <x:c r="L72" s="11" t="str">
        <x:f>IF(C72="","",IF(N(J72)&gt;=C72,"Yes","No"))</x:f>
      </x:c>
    </x:row>
    <x:row r="73">
      <x:c r="A73" s="8"/>
      <x:c r="B73" s="8"/>
      <x:c r="C73" s="9"/>
      <x:c r="D73" s="8"/>
      <x:c r="E73" s="8"/>
      <x:c r="F73" s="9"/>
      <x:c r="G73" s="10"/>
      <x:c r="H73" s="10" t="str">
        <x:f>IF(OR(C73="",G73=""),"",C73*G73)</x:f>
      </x:c>
      <x:c r="I73" s="8"/>
      <x:c r="J73" s="9"/>
      <x:c r="K73" s="10" t="str">
        <x:f>IF(OR(C73="",G73=""),"",MAX(C73-N(J73),0)*G73)</x:f>
      </x:c>
      <x:c r="L73" s="11" t="str">
        <x:f>IF(C73="","",IF(N(J73)&gt;=C73,"Yes","No"))</x:f>
      </x:c>
    </x:row>
    <x:row r="74">
      <x:c r="A74" s="8"/>
      <x:c r="B74" s="8"/>
      <x:c r="C74" s="9"/>
      <x:c r="D74" s="8"/>
      <x:c r="E74" s="8"/>
      <x:c r="F74" s="9"/>
      <x:c r="G74" s="10"/>
      <x:c r="H74" s="10" t="str">
        <x:f>IF(OR(C74="",G74=""),"",C74*G74)</x:f>
      </x:c>
      <x:c r="I74" s="8"/>
      <x:c r="J74" s="9"/>
      <x:c r="K74" s="10" t="str">
        <x:f>IF(OR(C74="",G74=""),"",MAX(C74-N(J74),0)*G74)</x:f>
      </x:c>
      <x:c r="L74" s="11" t="str">
        <x:f>IF(C74="","",IF(N(J74)&gt;=C74,"Yes","No"))</x:f>
      </x:c>
    </x:row>
    <x:row r="75">
      <x:c r="A75" s="8"/>
      <x:c r="B75" s="8"/>
      <x:c r="C75" s="9"/>
      <x:c r="D75" s="8"/>
      <x:c r="E75" s="8"/>
      <x:c r="F75" s="9"/>
      <x:c r="G75" s="10"/>
      <x:c r="H75" s="10" t="str">
        <x:f>IF(OR(C75="",G75=""),"",C75*G75)</x:f>
      </x:c>
      <x:c r="I75" s="8"/>
      <x:c r="J75" s="9"/>
      <x:c r="K75" s="10" t="str">
        <x:f>IF(OR(C75="",G75=""),"",MAX(C75-N(J75),0)*G75)</x:f>
      </x:c>
      <x:c r="L75" s="11" t="str">
        <x:f>IF(C75="","",IF(N(J75)&gt;=C75,"Yes","No"))</x:f>
      </x:c>
    </x:row>
    <x:row r="76">
      <x:c r="A76" s="8"/>
      <x:c r="B76" s="8"/>
      <x:c r="C76" s="9"/>
      <x:c r="D76" s="8"/>
      <x:c r="E76" s="8"/>
      <x:c r="F76" s="9"/>
      <x:c r="G76" s="10"/>
      <x:c r="H76" s="10" t="str">
        <x:f>IF(OR(C76="",G76=""),"",C76*G76)</x:f>
      </x:c>
      <x:c r="I76" s="8"/>
      <x:c r="J76" s="9"/>
      <x:c r="K76" s="10" t="str">
        <x:f>IF(OR(C76="",G76=""),"",MAX(C76-N(J76),0)*G76)</x:f>
      </x:c>
      <x:c r="L76" s="11" t="str">
        <x:f>IF(C76="","",IF(N(J76)&gt;=C76,"Yes","No"))</x:f>
      </x:c>
    </x:row>
    <x:row r="77">
      <x:c r="A77" s="8"/>
      <x:c r="B77" s="8"/>
      <x:c r="C77" s="9"/>
      <x:c r="D77" s="8"/>
      <x:c r="E77" s="8"/>
      <x:c r="F77" s="9"/>
      <x:c r="G77" s="10"/>
      <x:c r="H77" s="10" t="str">
        <x:f>IF(OR(C77="",G77=""),"",C77*G77)</x:f>
      </x:c>
      <x:c r="I77" s="8"/>
      <x:c r="J77" s="9"/>
      <x:c r="K77" s="10" t="str">
        <x:f>IF(OR(C77="",G77=""),"",MAX(C77-N(J77),0)*G77)</x:f>
      </x:c>
      <x:c r="L77" s="11" t="str">
        <x:f>IF(C77="","",IF(N(J77)&gt;=C77,"Yes","No"))</x:f>
      </x:c>
    </x:row>
    <x:row r="78">
      <x:c r="A78" s="8"/>
      <x:c r="B78" s="8"/>
      <x:c r="C78" s="9"/>
      <x:c r="D78" s="8"/>
      <x:c r="E78" s="8"/>
      <x:c r="F78" s="9"/>
      <x:c r="G78" s="10"/>
      <x:c r="H78" s="10" t="str">
        <x:f>IF(OR(C78="",G78=""),"",C78*G78)</x:f>
      </x:c>
      <x:c r="I78" s="8"/>
      <x:c r="J78" s="9"/>
      <x:c r="K78" s="10" t="str">
        <x:f>IF(OR(C78="",G78=""),"",MAX(C78-N(J78),0)*G78)</x:f>
      </x:c>
      <x:c r="L78" s="11" t="str">
        <x:f>IF(C78="","",IF(N(J78)&gt;=C78,"Yes","No"))</x:f>
      </x:c>
    </x:row>
    <x:row r="79">
      <x:c r="A79" s="8"/>
      <x:c r="B79" s="8"/>
      <x:c r="C79" s="9"/>
      <x:c r="D79" s="8"/>
      <x:c r="E79" s="8"/>
      <x:c r="F79" s="9"/>
      <x:c r="G79" s="10"/>
      <x:c r="H79" s="10" t="str">
        <x:f>IF(OR(C79="",G79=""),"",C79*G79)</x:f>
      </x:c>
      <x:c r="I79" s="8"/>
      <x:c r="J79" s="9"/>
      <x:c r="K79" s="10" t="str">
        <x:f>IF(OR(C79="",G79=""),"",MAX(C79-N(J79),0)*G79)</x:f>
      </x:c>
      <x:c r="L79" s="11" t="str">
        <x:f>IF(C79="","",IF(N(J79)&gt;=C79,"Yes","No"))</x:f>
      </x:c>
    </x:row>
    <x:row r="80">
      <x:c r="A80" s="8"/>
      <x:c r="B80" s="8"/>
      <x:c r="C80" s="9"/>
      <x:c r="D80" s="8"/>
      <x:c r="E80" s="8"/>
      <x:c r="F80" s="9"/>
      <x:c r="G80" s="10"/>
      <x:c r="H80" s="10" t="str">
        <x:f>IF(OR(C80="",G80=""),"",C80*G80)</x:f>
      </x:c>
      <x:c r="I80" s="8"/>
      <x:c r="J80" s="9"/>
      <x:c r="K80" s="10" t="str">
        <x:f>IF(OR(C80="",G80=""),"",MAX(C80-N(J80),0)*G80)</x:f>
      </x:c>
      <x:c r="L80" s="11" t="str">
        <x:f>IF(C80="","",IF(N(J80)&gt;=C80,"Yes","No"))</x:f>
      </x:c>
    </x:row>
    <x:row r="81">
      <x:c r="A81" s="8"/>
      <x:c r="B81" s="8"/>
      <x:c r="C81" s="9"/>
      <x:c r="D81" s="8"/>
      <x:c r="E81" s="8"/>
      <x:c r="F81" s="9"/>
      <x:c r="G81" s="10"/>
      <x:c r="H81" s="10" t="str">
        <x:f>IF(OR(C81="",G81=""),"",C81*G81)</x:f>
      </x:c>
      <x:c r="I81" s="8"/>
      <x:c r="J81" s="9"/>
      <x:c r="K81" s="10" t="str">
        <x:f>IF(OR(C81="",G81=""),"",MAX(C81-N(J81),0)*G81)</x:f>
      </x:c>
      <x:c r="L81" s="11" t="str">
        <x:f>IF(C81="","",IF(N(J81)&gt;=C81,"Yes","No"))</x:f>
      </x:c>
    </x:row>
    <x:row r="82">
      <x:c r="A82" s="8"/>
      <x:c r="B82" s="8"/>
      <x:c r="C82" s="9"/>
      <x:c r="D82" s="8"/>
      <x:c r="E82" s="8"/>
      <x:c r="F82" s="9"/>
      <x:c r="G82" s="10"/>
      <x:c r="H82" s="10" t="str">
        <x:f>IF(OR(C82="",G82=""),"",C82*G82)</x:f>
      </x:c>
      <x:c r="I82" s="8"/>
      <x:c r="J82" s="9"/>
      <x:c r="K82" s="10" t="str">
        <x:f>IF(OR(C82="",G82=""),"",MAX(C82-N(J82),0)*G82)</x:f>
      </x:c>
      <x:c r="L82" s="11" t="str">
        <x:f>IF(C82="","",IF(N(J82)&gt;=C82,"Yes","No"))</x:f>
      </x:c>
    </x:row>
    <x:row r="83">
      <x:c r="A83" s="8"/>
      <x:c r="B83" s="8"/>
      <x:c r="C83" s="9"/>
      <x:c r="D83" s="8"/>
      <x:c r="E83" s="8"/>
      <x:c r="F83" s="9"/>
      <x:c r="G83" s="10"/>
      <x:c r="H83" s="10" t="str">
        <x:f>IF(OR(C83="",G83=""),"",C83*G83)</x:f>
      </x:c>
      <x:c r="I83" s="8"/>
      <x:c r="J83" s="9"/>
      <x:c r="K83" s="10" t="str">
        <x:f>IF(OR(C83="",G83=""),"",MAX(C83-N(J83),0)*G83)</x:f>
      </x:c>
      <x:c r="L83" s="11" t="str">
        <x:f>IF(C83="","",IF(N(J83)&gt;=C83,"Yes","No"))</x:f>
      </x:c>
    </x:row>
    <x:row r="84">
      <x:c r="A84" s="8"/>
      <x:c r="B84" s="8"/>
      <x:c r="C84" s="9"/>
      <x:c r="D84" s="8"/>
      <x:c r="E84" s="8"/>
      <x:c r="F84" s="9"/>
      <x:c r="G84" s="10"/>
      <x:c r="H84" s="10" t="str">
        <x:f>IF(OR(C84="",G84=""),"",C84*G84)</x:f>
      </x:c>
      <x:c r="I84" s="8"/>
      <x:c r="J84" s="9"/>
      <x:c r="K84" s="10" t="str">
        <x:f>IF(OR(C84="",G84=""),"",MAX(C84-N(J84),0)*G84)</x:f>
      </x:c>
      <x:c r="L84" s="11" t="str">
        <x:f>IF(C84="","",IF(N(J84)&gt;=C84,"Yes","No"))</x:f>
      </x:c>
    </x:row>
    <x:row r="85">
      <x:c r="A85" s="8"/>
      <x:c r="B85" s="8"/>
      <x:c r="C85" s="9"/>
      <x:c r="D85" s="8"/>
      <x:c r="E85" s="8"/>
      <x:c r="F85" s="9"/>
      <x:c r="G85" s="10"/>
      <x:c r="H85" s="10" t="str">
        <x:f>IF(OR(C85="",G85=""),"",C85*G85)</x:f>
      </x:c>
      <x:c r="I85" s="8"/>
      <x:c r="J85" s="9"/>
      <x:c r="K85" s="10" t="str">
        <x:f>IF(OR(C85="",G85=""),"",MAX(C85-N(J85),0)*G85)</x:f>
      </x:c>
      <x:c r="L85" s="11" t="str">
        <x:f>IF(C85="","",IF(N(J85)&gt;=C85,"Yes","No"))</x:f>
      </x:c>
    </x:row>
    <x:row r="86">
      <x:c r="A86" s="8"/>
      <x:c r="B86" s="8"/>
      <x:c r="C86" s="9"/>
      <x:c r="D86" s="8"/>
      <x:c r="E86" s="8"/>
      <x:c r="F86" s="9"/>
      <x:c r="G86" s="10"/>
      <x:c r="H86" s="10" t="str">
        <x:f>IF(OR(C86="",G86=""),"",C86*G86)</x:f>
      </x:c>
      <x:c r="I86" s="8"/>
      <x:c r="J86" s="9"/>
      <x:c r="K86" s="10" t="str">
        <x:f>IF(OR(C86="",G86=""),"",MAX(C86-N(J86),0)*G86)</x:f>
      </x:c>
      <x:c r="L86" s="11" t="str">
        <x:f>IF(C86="","",IF(N(J86)&gt;=C86,"Yes","No"))</x:f>
      </x:c>
    </x:row>
    <x:row r="87">
      <x:c r="A87" s="8"/>
      <x:c r="B87" s="8"/>
      <x:c r="C87" s="9"/>
      <x:c r="D87" s="8"/>
      <x:c r="E87" s="8"/>
      <x:c r="F87" s="9"/>
      <x:c r="G87" s="10"/>
      <x:c r="H87" s="10" t="str">
        <x:f>IF(OR(C87="",G87=""),"",C87*G87)</x:f>
      </x:c>
      <x:c r="I87" s="8"/>
      <x:c r="J87" s="9"/>
      <x:c r="K87" s="10" t="str">
        <x:f>IF(OR(C87="",G87=""),"",MAX(C87-N(J87),0)*G87)</x:f>
      </x:c>
      <x:c r="L87" s="11" t="str">
        <x:f>IF(C87="","",IF(N(J87)&gt;=C87,"Yes","No"))</x:f>
      </x:c>
    </x:row>
    <x:row r="88">
      <x:c r="A88" s="8"/>
      <x:c r="B88" s="8"/>
      <x:c r="C88" s="9"/>
      <x:c r="D88" s="8"/>
      <x:c r="E88" s="8"/>
      <x:c r="F88" s="9"/>
      <x:c r="G88" s="10"/>
      <x:c r="H88" s="10" t="str">
        <x:f>IF(OR(C88="",G88=""),"",C88*G88)</x:f>
      </x:c>
      <x:c r="I88" s="8"/>
      <x:c r="J88" s="9"/>
      <x:c r="K88" s="10" t="str">
        <x:f>IF(OR(C88="",G88=""),"",MAX(C88-N(J88),0)*G88)</x:f>
      </x:c>
      <x:c r="L88" s="11" t="str">
        <x:f>IF(C88="","",IF(N(J88)&gt;=C88,"Yes","No"))</x:f>
      </x:c>
    </x:row>
    <x:row r="89">
      <x:c r="A89" s="8"/>
      <x:c r="B89" s="8"/>
      <x:c r="C89" s="9"/>
      <x:c r="D89" s="8"/>
      <x:c r="E89" s="8"/>
      <x:c r="F89" s="9"/>
      <x:c r="G89" s="10"/>
      <x:c r="H89" s="10" t="str">
        <x:f>IF(OR(C89="",G89=""),"",C89*G89)</x:f>
      </x:c>
      <x:c r="I89" s="8"/>
      <x:c r="J89" s="9"/>
      <x:c r="K89" s="10" t="str">
        <x:f>IF(OR(C89="",G89=""),"",MAX(C89-N(J89),0)*G89)</x:f>
      </x:c>
      <x:c r="L89" s="11" t="str">
        <x:f>IF(C89="","",IF(N(J89)&gt;=C89,"Yes","No"))</x:f>
      </x:c>
    </x:row>
    <x:row r="90">
      <x:c r="A90" s="8"/>
      <x:c r="B90" s="8"/>
      <x:c r="C90" s="9"/>
      <x:c r="D90" s="8"/>
      <x:c r="E90" s="8"/>
      <x:c r="F90" s="9"/>
      <x:c r="G90" s="10"/>
      <x:c r="H90" s="10" t="str">
        <x:f>IF(OR(C90="",G90=""),"",C90*G90)</x:f>
      </x:c>
      <x:c r="I90" s="8"/>
      <x:c r="J90" s="9"/>
      <x:c r="K90" s="10" t="str">
        <x:f>IF(OR(C90="",G90=""),"",MAX(C90-N(J90),0)*G90)</x:f>
      </x:c>
      <x:c r="L90" s="11" t="str">
        <x:f>IF(C90="","",IF(N(J90)&gt;=C90,"Yes","No"))</x:f>
      </x:c>
    </x:row>
    <x:row r="91">
      <x:c r="A91" s="8"/>
      <x:c r="B91" s="8"/>
      <x:c r="C91" s="9"/>
      <x:c r="D91" s="8"/>
      <x:c r="E91" s="8"/>
      <x:c r="F91" s="9"/>
      <x:c r="G91" s="10"/>
      <x:c r="H91" s="10" t="str">
        <x:f>IF(OR(C91="",G91=""),"",C91*G91)</x:f>
      </x:c>
      <x:c r="I91" s="8"/>
      <x:c r="J91" s="9"/>
      <x:c r="K91" s="10" t="str">
        <x:f>IF(OR(C91="",G91=""),"",MAX(C91-N(J91),0)*G91)</x:f>
      </x:c>
      <x:c r="L91" s="11" t="str">
        <x:f>IF(C91="","",IF(N(J91)&gt;=C91,"Yes","No"))</x:f>
      </x:c>
    </x:row>
    <x:row r="92">
      <x:c r="A92" s="8"/>
      <x:c r="B92" s="8"/>
      <x:c r="C92" s="9"/>
      <x:c r="D92" s="8"/>
      <x:c r="E92" s="8"/>
      <x:c r="F92" s="9"/>
      <x:c r="G92" s="10"/>
      <x:c r="H92" s="10" t="str">
        <x:f>IF(OR(C92="",G92=""),"",C92*G92)</x:f>
      </x:c>
      <x:c r="I92" s="8"/>
      <x:c r="J92" s="9"/>
      <x:c r="K92" s="10" t="str">
        <x:f>IF(OR(C92="",G92=""),"",MAX(C92-N(J92),0)*G92)</x:f>
      </x:c>
      <x:c r="L92" s="11" t="str">
        <x:f>IF(C92="","",IF(N(J92)&gt;=C92,"Yes","No"))</x:f>
      </x:c>
    </x:row>
    <x:row r="93">
      <x:c r="A93" s="8"/>
      <x:c r="B93" s="8"/>
      <x:c r="C93" s="9"/>
      <x:c r="D93" s="8"/>
      <x:c r="E93" s="8"/>
      <x:c r="F93" s="9"/>
      <x:c r="G93" s="10"/>
      <x:c r="H93" s="10" t="str">
        <x:f>IF(OR(C93="",G93=""),"",C93*G93)</x:f>
      </x:c>
      <x:c r="I93" s="8"/>
      <x:c r="J93" s="9"/>
      <x:c r="K93" s="10" t="str">
        <x:f>IF(OR(C93="",G93=""),"",MAX(C93-N(J93),0)*G93)</x:f>
      </x:c>
      <x:c r="L93" s="11" t="str">
        <x:f>IF(C93="","",IF(N(J93)&gt;=C93,"Yes","No"))</x:f>
      </x:c>
    </x:row>
    <x:row r="94">
      <x:c r="A94" s="8"/>
      <x:c r="B94" s="8"/>
      <x:c r="C94" s="9"/>
      <x:c r="D94" s="8"/>
      <x:c r="E94" s="8"/>
      <x:c r="F94" s="9"/>
      <x:c r="G94" s="10"/>
      <x:c r="H94" s="10" t="str">
        <x:f>IF(OR(C94="",G94=""),"",C94*G94)</x:f>
      </x:c>
      <x:c r="I94" s="8"/>
      <x:c r="J94" s="9"/>
      <x:c r="K94" s="10" t="str">
        <x:f>IF(OR(C94="",G94=""),"",MAX(C94-N(J94),0)*G94)</x:f>
      </x:c>
      <x:c r="L94" s="11" t="str">
        <x:f>IF(C94="","",IF(N(J94)&gt;=C94,"Yes","No"))</x:f>
      </x:c>
    </x:row>
    <x:row r="95">
      <x:c r="A95" s="8"/>
      <x:c r="B95" s="8"/>
      <x:c r="C95" s="9"/>
      <x:c r="D95" s="8"/>
      <x:c r="E95" s="8"/>
      <x:c r="F95" s="9"/>
      <x:c r="G95" s="10"/>
      <x:c r="H95" s="10" t="str">
        <x:f>IF(OR(C95="",G95=""),"",C95*G95)</x:f>
      </x:c>
      <x:c r="I95" s="8"/>
      <x:c r="J95" s="9"/>
      <x:c r="K95" s="10" t="str">
        <x:f>IF(OR(C95="",G95=""),"",MAX(C95-N(J95),0)*G95)</x:f>
      </x:c>
      <x:c r="L95" s="11" t="str">
        <x:f>IF(C95="","",IF(N(J95)&gt;=C95,"Yes","No"))</x:f>
      </x:c>
    </x:row>
    <x:row r="96">
      <x:c r="A96" s="8"/>
      <x:c r="B96" s="8"/>
      <x:c r="C96" s="9"/>
      <x:c r="D96" s="8"/>
      <x:c r="E96" s="8"/>
      <x:c r="F96" s="9"/>
      <x:c r="G96" s="10"/>
      <x:c r="H96" s="10" t="str">
        <x:f>IF(OR(C96="",G96=""),"",C96*G96)</x:f>
      </x:c>
      <x:c r="I96" s="8"/>
      <x:c r="J96" s="9"/>
      <x:c r="K96" s="10" t="str">
        <x:f>IF(OR(C96="",G96=""),"",MAX(C96-N(J96),0)*G96)</x:f>
      </x:c>
      <x:c r="L96" s="11" t="str">
        <x:f>IF(C96="","",IF(N(J96)&gt;=C96,"Yes","No"))</x:f>
      </x:c>
    </x:row>
    <x:row r="97">
      <x:c r="A97" s="8"/>
      <x:c r="B97" s="8"/>
      <x:c r="C97" s="9"/>
      <x:c r="D97" s="8"/>
      <x:c r="E97" s="8"/>
      <x:c r="F97" s="9"/>
      <x:c r="G97" s="10"/>
      <x:c r="H97" s="10" t="str">
        <x:f>IF(OR(C97="",G97=""),"",C97*G97)</x:f>
      </x:c>
      <x:c r="I97" s="8"/>
      <x:c r="J97" s="9"/>
      <x:c r="K97" s="10" t="str">
        <x:f>IF(OR(C97="",G97=""),"",MAX(C97-N(J97),0)*G97)</x:f>
      </x:c>
      <x:c r="L97" s="11" t="str">
        <x:f>IF(C97="","",IF(N(J97)&gt;=C97,"Yes","No"))</x:f>
      </x:c>
    </x:row>
    <x:row r="98">
      <x:c r="A98" s="8"/>
      <x:c r="B98" s="8"/>
      <x:c r="C98" s="9"/>
      <x:c r="D98" s="8"/>
      <x:c r="E98" s="8"/>
      <x:c r="F98" s="9"/>
      <x:c r="G98" s="10"/>
      <x:c r="H98" s="10" t="str">
        <x:f>IF(OR(C98="",G98=""),"",C98*G98)</x:f>
      </x:c>
      <x:c r="I98" s="8"/>
      <x:c r="J98" s="9"/>
      <x:c r="K98" s="10" t="str">
        <x:f>IF(OR(C98="",G98=""),"",MAX(C98-N(J98),0)*G98)</x:f>
      </x:c>
      <x:c r="L98" s="11" t="str">
        <x:f>IF(C98="","",IF(N(J98)&gt;=C98,"Yes","No"))</x:f>
      </x:c>
    </x:row>
    <x:row r="99">
      <x:c r="A99" s="8"/>
      <x:c r="B99" s="8"/>
      <x:c r="C99" s="9"/>
      <x:c r="D99" s="8"/>
      <x:c r="E99" s="8"/>
      <x:c r="F99" s="9"/>
      <x:c r="G99" s="10"/>
      <x:c r="H99" s="10" t="str">
        <x:f>IF(OR(C99="",G99=""),"",C99*G99)</x:f>
      </x:c>
      <x:c r="I99" s="8"/>
      <x:c r="J99" s="9"/>
      <x:c r="K99" s="10" t="str">
        <x:f>IF(OR(C99="",G99=""),"",MAX(C99-N(J99),0)*G99)</x:f>
      </x:c>
      <x:c r="L99" s="11" t="str">
        <x:f>IF(C99="","",IF(N(J99)&gt;=C99,"Yes","No"))</x:f>
      </x:c>
    </x:row>
    <x:row r="100">
      <x:c r="A100" s="8"/>
      <x:c r="B100" s="8"/>
      <x:c r="C100" s="9"/>
      <x:c r="D100" s="8"/>
      <x:c r="E100" s="8"/>
      <x:c r="F100" s="9"/>
      <x:c r="G100" s="10"/>
      <x:c r="H100" s="10" t="str">
        <x:f>IF(OR(C100="",G100=""),"",C100*G100)</x:f>
      </x:c>
      <x:c r="I100" s="8"/>
      <x:c r="J100" s="9"/>
      <x:c r="K100" s="10" t="str">
        <x:f>IF(OR(C100="",G100=""),"",MAX(C100-N(J100),0)*G100)</x:f>
      </x:c>
      <x:c r="L100" s="11" t="str">
        <x:f>IF(C100="","",IF(N(J100)&gt;=C100,"Yes","No"))</x:f>
      </x:c>
    </x:row>
    <x:row r="101">
      <x:c r="A101" s="8"/>
      <x:c r="B101" s="8"/>
      <x:c r="C101" s="9"/>
      <x:c r="D101" s="8"/>
      <x:c r="E101" s="8"/>
      <x:c r="F101" s="9"/>
      <x:c r="G101" s="10"/>
      <x:c r="H101" s="10" t="str">
        <x:f>IF(OR(C101="",G101=""),"",C101*G101)</x:f>
      </x:c>
      <x:c r="I101" s="8"/>
      <x:c r="J101" s="9"/>
      <x:c r="K101" s="10" t="str">
        <x:f>IF(OR(C101="",G101=""),"",MAX(C101-N(J101),0)*G101)</x:f>
      </x:c>
      <x:c r="L101" s="11" t="str">
        <x:f>IF(C101="","",IF(N(J101)&gt;=C101,"Yes","No"))</x:f>
      </x:c>
    </x:row>
    <x:row r="102">
      <x:c r="A102" s="8"/>
      <x:c r="B102" s="8"/>
      <x:c r="C102" s="9"/>
      <x:c r="D102" s="8"/>
      <x:c r="E102" s="8"/>
      <x:c r="F102" s="9"/>
      <x:c r="G102" s="10"/>
      <x:c r="H102" s="10" t="str">
        <x:f>IF(OR(C102="",G102=""),"",C102*G102)</x:f>
      </x:c>
      <x:c r="I102" s="8"/>
      <x:c r="J102" s="9"/>
      <x:c r="K102" s="10" t="str">
        <x:f>IF(OR(C102="",G102=""),"",MAX(C102-N(J102),0)*G102)</x:f>
      </x:c>
      <x:c r="L102" s="11" t="str">
        <x:f>IF(C102="","",IF(N(J102)&gt;=C102,"Yes","No"))</x:f>
      </x:c>
    </x:row>
    <x:row r="103">
      <x:c r="A103" s="8"/>
      <x:c r="B103" s="8"/>
      <x:c r="C103" s="9"/>
      <x:c r="D103" s="8"/>
      <x:c r="E103" s="8"/>
      <x:c r="F103" s="9"/>
      <x:c r="G103" s="10"/>
      <x:c r="H103" s="10" t="str">
        <x:f>IF(OR(C103="",G103=""),"",C103*G103)</x:f>
      </x:c>
      <x:c r="I103" s="8"/>
      <x:c r="J103" s="9"/>
      <x:c r="K103" s="10" t="str">
        <x:f>IF(OR(C103="",G103=""),"",MAX(C103-N(J103),0)*G103)</x:f>
      </x:c>
      <x:c r="L103" s="11" t="str">
        <x:f>IF(C103="","",IF(N(J103)&gt;=C103,"Yes","No"))</x:f>
      </x:c>
    </x:row>
    <x:row r="104">
      <x:c r="A104" s="8"/>
      <x:c r="B104" s="8"/>
      <x:c r="C104" s="9"/>
      <x:c r="D104" s="8"/>
      <x:c r="E104" s="8"/>
      <x:c r="F104" s="9"/>
      <x:c r="G104" s="10"/>
      <x:c r="H104" s="10" t="str">
        <x:f>IF(OR(C104="",G104=""),"",C104*G104)</x:f>
      </x:c>
      <x:c r="I104" s="8"/>
      <x:c r="J104" s="9"/>
      <x:c r="K104" s="10" t="str">
        <x:f>IF(OR(C104="",G104=""),"",MAX(C104-N(J104),0)*G104)</x:f>
      </x:c>
      <x:c r="L104" s="11" t="str">
        <x:f>IF(C104="","",IF(N(J104)&gt;=C104,"Yes","No"))</x:f>
      </x:c>
    </x:row>
    <x:row r="105">
      <x:c r="A105" s="8"/>
      <x:c r="B105" s="8"/>
      <x:c r="C105" s="9"/>
      <x:c r="D105" s="8"/>
      <x:c r="E105" s="8"/>
      <x:c r="F105" s="9"/>
      <x:c r="G105" s="10"/>
      <x:c r="H105" s="10" t="str">
        <x:f>IF(OR(C105="",G105=""),"",C105*G105)</x:f>
      </x:c>
      <x:c r="I105" s="8"/>
      <x:c r="J105" s="9"/>
      <x:c r="K105" s="10" t="str">
        <x:f>IF(OR(C105="",G105=""),"",MAX(C105-N(J105),0)*G105)</x:f>
      </x:c>
      <x:c r="L105" s="11" t="str">
        <x:f>IF(C105="","",IF(N(J105)&gt;=C105,"Yes","No"))</x:f>
      </x:c>
    </x:row>
    <x:row r="106">
      <x:c r="A106" s="8"/>
      <x:c r="B106" s="8"/>
      <x:c r="C106" s="9"/>
      <x:c r="D106" s="8"/>
      <x:c r="E106" s="8"/>
      <x:c r="F106" s="9"/>
      <x:c r="G106" s="10"/>
      <x:c r="H106" s="10" t="str">
        <x:f>IF(OR(C106="",G106=""),"",C106*G106)</x:f>
      </x:c>
      <x:c r="I106" s="8"/>
      <x:c r="J106" s="9"/>
      <x:c r="K106" s="10" t="str">
        <x:f>IF(OR(C106="",G106=""),"",MAX(C106-N(J106),0)*G106)</x:f>
      </x:c>
      <x:c r="L106" s="11" t="str">
        <x:f>IF(C106="","",IF(N(J106)&gt;=C106,"Yes","No"))</x:f>
      </x:c>
    </x:row>
    <x:row r="107">
      <x:c r="A107" s="8"/>
      <x:c r="B107" s="8"/>
      <x:c r="C107" s="9"/>
      <x:c r="D107" s="8"/>
      <x:c r="E107" s="8"/>
      <x:c r="F107" s="9"/>
      <x:c r="G107" s="10"/>
      <x:c r="H107" s="10" t="str">
        <x:f>IF(OR(C107="",G107=""),"",C107*G107)</x:f>
      </x:c>
      <x:c r="I107" s="8"/>
      <x:c r="J107" s="9"/>
      <x:c r="K107" s="10" t="str">
        <x:f>IF(OR(C107="",G107=""),"",MAX(C107-N(J107),0)*G107)</x:f>
      </x:c>
      <x:c r="L107" s="11" t="str">
        <x:f>IF(C107="","",IF(N(J107)&gt;=C107,"Yes","No"))</x:f>
      </x:c>
    </x:row>
    <x:row r="108">
      <x:c r="A108" s="8"/>
      <x:c r="B108" s="8"/>
      <x:c r="C108" s="9"/>
      <x:c r="D108" s="8"/>
      <x:c r="E108" s="8"/>
      <x:c r="F108" s="9"/>
      <x:c r="G108" s="10"/>
      <x:c r="H108" s="10" t="str">
        <x:f>IF(OR(C108="",G108=""),"",C108*G108)</x:f>
      </x:c>
      <x:c r="I108" s="8"/>
      <x:c r="J108" s="9"/>
      <x:c r="K108" s="10" t="str">
        <x:f>IF(OR(C108="",G108=""),"",MAX(C108-N(J108),0)*G108)</x:f>
      </x:c>
      <x:c r="L108" s="11" t="str">
        <x:f>IF(C108="","",IF(N(J108)&gt;=C108,"Yes","No"))</x:f>
      </x:c>
    </x:row>
    <x:row r="109">
      <x:c r="A109" s="8"/>
      <x:c r="B109" s="8"/>
      <x:c r="C109" s="9"/>
      <x:c r="D109" s="8"/>
      <x:c r="E109" s="8"/>
      <x:c r="F109" s="9"/>
      <x:c r="G109" s="10"/>
      <x:c r="H109" s="10" t="str">
        <x:f>IF(OR(C109="",G109=""),"",C109*G109)</x:f>
      </x:c>
      <x:c r="I109" s="8"/>
      <x:c r="J109" s="9"/>
      <x:c r="K109" s="10" t="str">
        <x:f>IF(OR(C109="",G109=""),"",MAX(C109-N(J109),0)*G109)</x:f>
      </x:c>
      <x:c r="L109" s="11" t="str">
        <x:f>IF(C109="","",IF(N(J109)&gt;=C109,"Yes","No"))</x:f>
      </x:c>
    </x:row>
    <x:row r="110">
      <x:c r="A110" s="8"/>
      <x:c r="B110" s="8"/>
      <x:c r="C110" s="9"/>
      <x:c r="D110" s="8"/>
      <x:c r="E110" s="8"/>
      <x:c r="F110" s="9"/>
      <x:c r="G110" s="10"/>
      <x:c r="H110" s="10" t="str">
        <x:f>IF(OR(C110="",G110=""),"",C110*G110)</x:f>
      </x:c>
      <x:c r="I110" s="8"/>
      <x:c r="J110" s="9"/>
      <x:c r="K110" s="10" t="str">
        <x:f>IF(OR(C110="",G110=""),"",MAX(C110-N(J110),0)*G110)</x:f>
      </x:c>
      <x:c r="L110" s="11" t="str">
        <x:f>IF(C110="","",IF(N(J110)&gt;=C110,"Yes","No"))</x:f>
      </x:c>
    </x:row>
    <x:row r="111">
      <x:c r="A111" s="8"/>
      <x:c r="B111" s="8"/>
      <x:c r="C111" s="9"/>
      <x:c r="D111" s="8"/>
      <x:c r="E111" s="8"/>
      <x:c r="F111" s="9"/>
      <x:c r="G111" s="10"/>
      <x:c r="H111" s="10" t="str">
        <x:f>IF(OR(C111="",G111=""),"",C111*G111)</x:f>
      </x:c>
      <x:c r="I111" s="8"/>
      <x:c r="J111" s="9"/>
      <x:c r="K111" s="10" t="str">
        <x:f>IF(OR(C111="",G111=""),"",MAX(C111-N(J111),0)*G111)</x:f>
      </x:c>
      <x:c r="L111" s="11" t="str">
        <x:f>IF(C111="","",IF(N(J111)&gt;=C111,"Yes","No"))</x:f>
      </x:c>
    </x:row>
    <x:row r="112">
      <x:c r="A112" s="8"/>
      <x:c r="B112" s="8"/>
      <x:c r="C112" s="9"/>
      <x:c r="D112" s="8"/>
      <x:c r="E112" s="8"/>
      <x:c r="F112" s="9"/>
      <x:c r="G112" s="10"/>
      <x:c r="H112" s="10" t="str">
        <x:f>IF(OR(C112="",G112=""),"",C112*G112)</x:f>
      </x:c>
      <x:c r="I112" s="8"/>
      <x:c r="J112" s="9"/>
      <x:c r="K112" s="10" t="str">
        <x:f>IF(OR(C112="",G112=""),"",MAX(C112-N(J112),0)*G112)</x:f>
      </x:c>
      <x:c r="L112" s="11" t="str">
        <x:f>IF(C112="","",IF(N(J112)&gt;=C112,"Yes","No"))</x:f>
      </x:c>
    </x:row>
    <x:row r="113">
      <x:c r="A113" s="8"/>
      <x:c r="B113" s="8"/>
      <x:c r="C113" s="9"/>
      <x:c r="D113" s="8"/>
      <x:c r="E113" s="8"/>
      <x:c r="F113" s="9"/>
      <x:c r="G113" s="10"/>
      <x:c r="H113" s="10" t="str">
        <x:f>IF(OR(C113="",G113=""),"",C113*G113)</x:f>
      </x:c>
      <x:c r="I113" s="8"/>
      <x:c r="J113" s="9"/>
      <x:c r="K113" s="10" t="str">
        <x:f>IF(OR(C113="",G113=""),"",MAX(C113-N(J113),0)*G113)</x:f>
      </x:c>
      <x:c r="L113" s="11" t="str">
        <x:f>IF(C113="","",IF(N(J113)&gt;=C113,"Yes","No"))</x:f>
      </x:c>
    </x:row>
    <x:row r="114">
      <x:c r="A114" s="8"/>
      <x:c r="B114" s="8"/>
      <x:c r="C114" s="9"/>
      <x:c r="D114" s="8"/>
      <x:c r="E114" s="8"/>
      <x:c r="F114" s="9"/>
      <x:c r="G114" s="10"/>
      <x:c r="H114" s="10" t="str">
        <x:f>IF(OR(C114="",G114=""),"",C114*G114)</x:f>
      </x:c>
      <x:c r="I114" s="8"/>
      <x:c r="J114" s="9"/>
      <x:c r="K114" s="10" t="str">
        <x:f>IF(OR(C114="",G114=""),"",MAX(C114-N(J114),0)*G114)</x:f>
      </x:c>
      <x:c r="L114" s="11" t="str">
        <x:f>IF(C114="","",IF(N(J114)&gt;=C114,"Yes","No"))</x:f>
      </x:c>
    </x:row>
    <x:row r="115">
      <x:c r="A115" s="8"/>
      <x:c r="B115" s="8"/>
      <x:c r="C115" s="9"/>
      <x:c r="D115" s="8"/>
      <x:c r="E115" s="8"/>
      <x:c r="F115" s="9"/>
      <x:c r="G115" s="10"/>
      <x:c r="H115" s="10" t="str">
        <x:f>IF(OR(C115="",G115=""),"",C115*G115)</x:f>
      </x:c>
      <x:c r="I115" s="8"/>
      <x:c r="J115" s="9"/>
      <x:c r="K115" s="10" t="str">
        <x:f>IF(OR(C115="",G115=""),"",MAX(C115-N(J115),0)*G115)</x:f>
      </x:c>
      <x:c r="L115" s="11" t="str">
        <x:f>IF(C115="","",IF(N(J115)&gt;=C115,"Yes","No"))</x:f>
      </x:c>
    </x:row>
    <x:row r="116">
      <x:c r="A116" s="8"/>
      <x:c r="B116" s="8"/>
      <x:c r="C116" s="9"/>
      <x:c r="D116" s="8"/>
      <x:c r="E116" s="8"/>
      <x:c r="F116" s="9"/>
      <x:c r="G116" s="10"/>
      <x:c r="H116" s="10" t="str">
        <x:f>IF(OR(C116="",G116=""),"",C116*G116)</x:f>
      </x:c>
      <x:c r="I116" s="8"/>
      <x:c r="J116" s="9"/>
      <x:c r="K116" s="10" t="str">
        <x:f>IF(OR(C116="",G116=""),"",MAX(C116-N(J116),0)*G116)</x:f>
      </x:c>
      <x:c r="L116" s="11" t="str">
        <x:f>IF(C116="","",IF(N(J116)&gt;=C116,"Yes","No"))</x:f>
      </x:c>
    </x:row>
    <x:row r="117">
      <x:c r="A117" s="8"/>
      <x:c r="B117" s="8"/>
      <x:c r="C117" s="9"/>
      <x:c r="D117" s="8"/>
      <x:c r="E117" s="8"/>
      <x:c r="F117" s="9"/>
      <x:c r="G117" s="10"/>
      <x:c r="H117" s="10" t="str">
        <x:f>IF(OR(C117="",G117=""),"",C117*G117)</x:f>
      </x:c>
      <x:c r="I117" s="8"/>
      <x:c r="J117" s="9"/>
      <x:c r="K117" s="10" t="str">
        <x:f>IF(OR(C117="",G117=""),"",MAX(C117-N(J117),0)*G117)</x:f>
      </x:c>
      <x:c r="L117" s="11" t="str">
        <x:f>IF(C117="","",IF(N(J117)&gt;=C117,"Yes","No"))</x:f>
      </x:c>
    </x:row>
    <x:row r="118">
      <x:c r="A118" s="8"/>
      <x:c r="B118" s="8"/>
      <x:c r="C118" s="9"/>
      <x:c r="D118" s="8"/>
      <x:c r="E118" s="8"/>
      <x:c r="F118" s="9"/>
      <x:c r="G118" s="10"/>
      <x:c r="H118" s="10" t="str">
        <x:f>IF(OR(C118="",G118=""),"",C118*G118)</x:f>
      </x:c>
      <x:c r="I118" s="8"/>
      <x:c r="J118" s="9"/>
      <x:c r="K118" s="10" t="str">
        <x:f>IF(OR(C118="",G118=""),"",MAX(C118-N(J118),0)*G118)</x:f>
      </x:c>
      <x:c r="L118" s="11" t="str">
        <x:f>IF(C118="","",IF(N(J118)&gt;=C118,"Yes","No"))</x:f>
      </x:c>
    </x:row>
    <x:row r="119">
      <x:c r="A119" s="8"/>
      <x:c r="B119" s="8"/>
      <x:c r="C119" s="9"/>
      <x:c r="D119" s="8"/>
      <x:c r="E119" s="8"/>
      <x:c r="F119" s="9"/>
      <x:c r="G119" s="10"/>
      <x:c r="H119" s="10" t="str">
        <x:f>IF(OR(C119="",G119=""),"",C119*G119)</x:f>
      </x:c>
      <x:c r="I119" s="8"/>
      <x:c r="J119" s="9"/>
      <x:c r="K119" s="10" t="str">
        <x:f>IF(OR(C119="",G119=""),"",MAX(C119-N(J119),0)*G119)</x:f>
      </x:c>
      <x:c r="L119" s="11" t="str">
        <x:f>IF(C119="","",IF(N(J119)&gt;=C119,"Yes","No"))</x:f>
      </x:c>
    </x:row>
    <x:row r="120">
      <x:c r="A120" s="8"/>
      <x:c r="B120" s="8"/>
      <x:c r="C120" s="9"/>
      <x:c r="D120" s="8"/>
      <x:c r="E120" s="8"/>
      <x:c r="F120" s="9"/>
      <x:c r="G120" s="10"/>
      <x:c r="H120" s="10" t="str">
        <x:f>IF(OR(C120="",G120=""),"",C120*G120)</x:f>
      </x:c>
      <x:c r="I120" s="8"/>
      <x:c r="J120" s="9"/>
      <x:c r="K120" s="10" t="str">
        <x:f>IF(OR(C120="",G120=""),"",MAX(C120-N(J120),0)*G120)</x:f>
      </x:c>
      <x:c r="L120" s="11" t="str">
        <x:f>IF(C120="","",IF(N(J120)&gt;=C120,"Yes","No"))</x:f>
      </x:c>
    </x:row>
    <x:row r="121">
      <x:c r="A121" s="8"/>
      <x:c r="B121" s="8"/>
      <x:c r="C121" s="9"/>
      <x:c r="D121" s="8"/>
      <x:c r="E121" s="8"/>
      <x:c r="F121" s="9"/>
      <x:c r="G121" s="10"/>
      <x:c r="H121" s="10" t="str">
        <x:f>IF(OR(C121="",G121=""),"",C121*G121)</x:f>
      </x:c>
      <x:c r="I121" s="8"/>
      <x:c r="J121" s="9"/>
      <x:c r="K121" s="10" t="str">
        <x:f>IF(OR(C121="",G121=""),"",MAX(C121-N(J121),0)*G121)</x:f>
      </x:c>
      <x:c r="L121" s="11" t="str">
        <x:f>IF(C121="","",IF(N(J121)&gt;=C121,"Yes","No"))</x:f>
      </x:c>
    </x:row>
    <x:row r="122">
      <x:c r="A122" s="8"/>
      <x:c r="B122" s="8"/>
      <x:c r="C122" s="9"/>
      <x:c r="D122" s="8"/>
      <x:c r="E122" s="8"/>
      <x:c r="F122" s="9"/>
      <x:c r="G122" s="10"/>
      <x:c r="H122" s="10" t="str">
        <x:f>IF(OR(C122="",G122=""),"",C122*G122)</x:f>
      </x:c>
      <x:c r="I122" s="8"/>
      <x:c r="J122" s="9"/>
      <x:c r="K122" s="10" t="str">
        <x:f>IF(OR(C122="",G122=""),"",MAX(C122-N(J122),0)*G122)</x:f>
      </x:c>
      <x:c r="L122" s="11" t="str">
        <x:f>IF(C122="","",IF(N(J122)&gt;=C122,"Yes","No"))</x:f>
      </x:c>
    </x:row>
    <x:row r="123">
      <x:c r="A123" s="8"/>
      <x:c r="B123" s="8"/>
      <x:c r="C123" s="9"/>
      <x:c r="D123" s="8"/>
      <x:c r="E123" s="8"/>
      <x:c r="F123" s="9"/>
      <x:c r="G123" s="10"/>
      <x:c r="H123" s="10" t="str">
        <x:f>IF(OR(C123="",G123=""),"",C123*G123)</x:f>
      </x:c>
      <x:c r="I123" s="8"/>
      <x:c r="J123" s="9"/>
      <x:c r="K123" s="10" t="str">
        <x:f>IF(OR(C123="",G123=""),"",MAX(C123-N(J123),0)*G123)</x:f>
      </x:c>
      <x:c r="L123" s="11" t="str">
        <x:f>IF(C123="","",IF(N(J123)&gt;=C123,"Yes","No"))</x:f>
      </x:c>
    </x:row>
    <x:row r="124">
      <x:c r="A124" s="8"/>
      <x:c r="B124" s="8"/>
      <x:c r="C124" s="9"/>
      <x:c r="D124" s="8"/>
      <x:c r="E124" s="8"/>
      <x:c r="F124" s="9"/>
      <x:c r="G124" s="10"/>
      <x:c r="H124" s="10" t="str">
        <x:f>IF(OR(C124="",G124=""),"",C124*G124)</x:f>
      </x:c>
      <x:c r="I124" s="8"/>
      <x:c r="J124" s="9"/>
      <x:c r="K124" s="10" t="str">
        <x:f>IF(OR(C124="",G124=""),"",MAX(C124-N(J124),0)*G124)</x:f>
      </x:c>
      <x:c r="L124" s="11" t="str">
        <x:f>IF(C124="","",IF(N(J124)&gt;=C124,"Yes","No"))</x:f>
      </x:c>
    </x:row>
    <x:row r="125">
      <x:c r="A125" s="8"/>
      <x:c r="B125" s="8"/>
      <x:c r="C125" s="9"/>
      <x:c r="D125" s="8"/>
      <x:c r="E125" s="8"/>
      <x:c r="F125" s="9"/>
      <x:c r="G125" s="10"/>
      <x:c r="H125" s="10" t="str">
        <x:f>IF(OR(C125="",G125=""),"",C125*G125)</x:f>
      </x:c>
      <x:c r="I125" s="8"/>
      <x:c r="J125" s="9"/>
      <x:c r="K125" s="10" t="str">
        <x:f>IF(OR(C125="",G125=""),"",MAX(C125-N(J125),0)*G125)</x:f>
      </x:c>
      <x:c r="L125" s="11" t="str">
        <x:f>IF(C125="","",IF(N(J125)&gt;=C125,"Yes","No"))</x:f>
      </x:c>
    </x:row>
    <x:row r="126">
      <x:c r="A126" s="8"/>
      <x:c r="B126" s="8"/>
      <x:c r="C126" s="9"/>
      <x:c r="D126" s="8"/>
      <x:c r="E126" s="8"/>
      <x:c r="F126" s="9"/>
      <x:c r="G126" s="10"/>
      <x:c r="H126" s="10" t="str">
        <x:f>IF(OR(C126="",G126=""),"",C126*G126)</x:f>
      </x:c>
      <x:c r="I126" s="8"/>
      <x:c r="J126" s="9"/>
      <x:c r="K126" s="10" t="str">
        <x:f>IF(OR(C126="",G126=""),"",MAX(C126-N(J126),0)*G126)</x:f>
      </x:c>
      <x:c r="L126" s="11" t="str">
        <x:f>IF(C126="","",IF(N(J126)&gt;=C126,"Yes","No"))</x:f>
      </x:c>
    </x:row>
    <x:row r="127">
      <x:c r="A127" s="8"/>
      <x:c r="B127" s="8"/>
      <x:c r="C127" s="9"/>
      <x:c r="D127" s="8"/>
      <x:c r="E127" s="8"/>
      <x:c r="F127" s="9"/>
      <x:c r="G127" s="10"/>
      <x:c r="H127" s="10" t="str">
        <x:f>IF(OR(C127="",G127=""),"",C127*G127)</x:f>
      </x:c>
      <x:c r="I127" s="8"/>
      <x:c r="J127" s="9"/>
      <x:c r="K127" s="10" t="str">
        <x:f>IF(OR(C127="",G127=""),"",MAX(C127-N(J127),0)*G127)</x:f>
      </x:c>
      <x:c r="L127" s="11" t="str">
        <x:f>IF(C127="","",IF(N(J127)&gt;=C127,"Yes","No"))</x:f>
      </x:c>
    </x:row>
    <x:row r="128">
      <x:c r="A128" s="8"/>
      <x:c r="B128" s="8"/>
      <x:c r="C128" s="9"/>
      <x:c r="D128" s="8"/>
      <x:c r="E128" s="8"/>
      <x:c r="F128" s="9"/>
      <x:c r="G128" s="10"/>
      <x:c r="H128" s="10" t="str">
        <x:f>IF(OR(C128="",G128=""),"",C128*G128)</x:f>
      </x:c>
      <x:c r="I128" s="8"/>
      <x:c r="J128" s="9"/>
      <x:c r="K128" s="10" t="str">
        <x:f>IF(OR(C128="",G128=""),"",MAX(C128-N(J128),0)*G128)</x:f>
      </x:c>
      <x:c r="L128" s="11" t="str">
        <x:f>IF(C128="","",IF(N(J128)&gt;=C128,"Yes","No"))</x:f>
      </x:c>
    </x:row>
    <x:row r="129">
      <x:c r="A129" s="8"/>
      <x:c r="B129" s="8"/>
      <x:c r="C129" s="9"/>
      <x:c r="D129" s="8"/>
      <x:c r="E129" s="8"/>
      <x:c r="F129" s="9"/>
      <x:c r="G129" s="10"/>
      <x:c r="H129" s="10" t="str">
        <x:f>IF(OR(C129="",G129=""),"",C129*G129)</x:f>
      </x:c>
      <x:c r="I129" s="8"/>
      <x:c r="J129" s="9"/>
      <x:c r="K129" s="10" t="str">
        <x:f>IF(OR(C129="",G129=""),"",MAX(C129-N(J129),0)*G129)</x:f>
      </x:c>
      <x:c r="L129" s="11" t="str">
        <x:f>IF(C129="","",IF(N(J129)&gt;=C129,"Yes","No"))</x:f>
      </x:c>
    </x:row>
    <x:row r="130">
      <x:c r="A130" s="8"/>
      <x:c r="B130" s="8"/>
      <x:c r="C130" s="9"/>
      <x:c r="D130" s="8"/>
      <x:c r="E130" s="8"/>
      <x:c r="F130" s="9"/>
      <x:c r="G130" s="10"/>
      <x:c r="H130" s="10" t="str">
        <x:f>IF(OR(C130="",G130=""),"",C130*G130)</x:f>
      </x:c>
      <x:c r="I130" s="8"/>
      <x:c r="J130" s="9"/>
      <x:c r="K130" s="10" t="str">
        <x:f>IF(OR(C130="",G130=""),"",MAX(C130-N(J130),0)*G130)</x:f>
      </x:c>
      <x:c r="L130" s="11" t="str">
        <x:f>IF(C130="","",IF(N(J130)&gt;=C130,"Yes","No"))</x:f>
      </x:c>
    </x:row>
    <x:row r="131">
      <x:c r="A131" s="8"/>
      <x:c r="B131" s="8"/>
      <x:c r="C131" s="9"/>
      <x:c r="D131" s="8"/>
      <x:c r="E131" s="8"/>
      <x:c r="F131" s="9"/>
      <x:c r="G131" s="10"/>
      <x:c r="H131" s="10" t="str">
        <x:f>IF(OR(C131="",G131=""),"",C131*G131)</x:f>
      </x:c>
      <x:c r="I131" s="8"/>
      <x:c r="J131" s="9"/>
      <x:c r="K131" s="10" t="str">
        <x:f>IF(OR(C131="",G131=""),"",MAX(C131-N(J131),0)*G131)</x:f>
      </x:c>
      <x:c r="L131" s="11" t="str">
        <x:f>IF(C131="","",IF(N(J131)&gt;=C131,"Yes","No"))</x:f>
      </x:c>
    </x:row>
    <x:row r="132">
      <x:c r="A132" s="8"/>
      <x:c r="B132" s="8"/>
      <x:c r="C132" s="9"/>
      <x:c r="D132" s="8"/>
      <x:c r="E132" s="8"/>
      <x:c r="F132" s="9"/>
      <x:c r="G132" s="10"/>
      <x:c r="H132" s="10" t="str">
        <x:f>IF(OR(C132="",G132=""),"",C132*G132)</x:f>
      </x:c>
      <x:c r="I132" s="8"/>
      <x:c r="J132" s="9"/>
      <x:c r="K132" s="10" t="str">
        <x:f>IF(OR(C132="",G132=""),"",MAX(C132-N(J132),0)*G132)</x:f>
      </x:c>
      <x:c r="L132" s="11" t="str">
        <x:f>IF(C132="","",IF(N(J132)&gt;=C132,"Yes","No"))</x:f>
      </x:c>
    </x:row>
    <x:row r="133">
      <x:c r="A133" s="8"/>
      <x:c r="B133" s="8"/>
      <x:c r="C133" s="9"/>
      <x:c r="D133" s="8"/>
      <x:c r="E133" s="8"/>
      <x:c r="F133" s="9"/>
      <x:c r="G133" s="10"/>
      <x:c r="H133" s="10" t="str">
        <x:f>IF(OR(C133="",G133=""),"",C133*G133)</x:f>
      </x:c>
      <x:c r="I133" s="8"/>
      <x:c r="J133" s="9"/>
      <x:c r="K133" s="10" t="str">
        <x:f>IF(OR(C133="",G133=""),"",MAX(C133-N(J133),0)*G133)</x:f>
      </x:c>
      <x:c r="L133" s="11" t="str">
        <x:f>IF(C133="","",IF(N(J133)&gt;=C133,"Yes","No"))</x:f>
      </x:c>
    </x:row>
    <x:row r="134">
      <x:c r="A134" s="8"/>
      <x:c r="B134" s="8"/>
      <x:c r="C134" s="9"/>
      <x:c r="D134" s="8"/>
      <x:c r="E134" s="8"/>
      <x:c r="F134" s="9"/>
      <x:c r="G134" s="10"/>
      <x:c r="H134" s="10" t="str">
        <x:f>IF(OR(C134="",G134=""),"",C134*G134)</x:f>
      </x:c>
      <x:c r="I134" s="8"/>
      <x:c r="J134" s="9"/>
      <x:c r="K134" s="10" t="str">
        <x:f>IF(OR(C134="",G134=""),"",MAX(C134-N(J134),0)*G134)</x:f>
      </x:c>
      <x:c r="L134" s="11" t="str">
        <x:f>IF(C134="","",IF(N(J134)&gt;=C134,"Yes","No"))</x:f>
      </x:c>
    </x:row>
    <x:row r="135">
      <x:c r="A135" s="8"/>
      <x:c r="B135" s="8"/>
      <x:c r="C135" s="9"/>
      <x:c r="D135" s="8"/>
      <x:c r="E135" s="8"/>
      <x:c r="F135" s="9"/>
      <x:c r="G135" s="10"/>
      <x:c r="H135" s="10" t="str">
        <x:f>IF(OR(C135="",G135=""),"",C135*G135)</x:f>
      </x:c>
      <x:c r="I135" s="8"/>
      <x:c r="J135" s="9"/>
      <x:c r="K135" s="10" t="str">
        <x:f>IF(OR(C135="",G135=""),"",MAX(C135-N(J135),0)*G135)</x:f>
      </x:c>
      <x:c r="L135" s="11" t="str">
        <x:f>IF(C135="","",IF(N(J135)&gt;=C135,"Yes","No"))</x:f>
      </x:c>
    </x:row>
    <x:row r="136">
      <x:c r="A136" s="8"/>
      <x:c r="B136" s="8"/>
      <x:c r="C136" s="9"/>
      <x:c r="D136" s="8"/>
      <x:c r="E136" s="8"/>
      <x:c r="F136" s="9"/>
      <x:c r="G136" s="10"/>
      <x:c r="H136" s="10" t="str">
        <x:f>IF(OR(C136="",G136=""),"",C136*G136)</x:f>
      </x:c>
      <x:c r="I136" s="8"/>
      <x:c r="J136" s="9"/>
      <x:c r="K136" s="10" t="str">
        <x:f>IF(OR(C136="",G136=""),"",MAX(C136-N(J136),0)*G136)</x:f>
      </x:c>
      <x:c r="L136" s="11" t="str">
        <x:f>IF(C136="","",IF(N(J136)&gt;=C136,"Yes","No"))</x:f>
      </x:c>
    </x:row>
    <x:row r="137">
      <x:c r="A137" s="8"/>
      <x:c r="B137" s="8"/>
      <x:c r="C137" s="9"/>
      <x:c r="D137" s="8"/>
      <x:c r="E137" s="8"/>
      <x:c r="F137" s="9"/>
      <x:c r="G137" s="10"/>
      <x:c r="H137" s="10" t="str">
        <x:f>IF(OR(C137="",G137=""),"",C137*G137)</x:f>
      </x:c>
      <x:c r="I137" s="8"/>
      <x:c r="J137" s="9"/>
      <x:c r="K137" s="10" t="str">
        <x:f>IF(OR(C137="",G137=""),"",MAX(C137-N(J137),0)*G137)</x:f>
      </x:c>
      <x:c r="L137" s="11" t="str">
        <x:f>IF(C137="","",IF(N(J137)&gt;=C137,"Yes","No"))</x:f>
      </x:c>
    </x:row>
    <x:row r="138">
      <x:c r="A138" s="8"/>
      <x:c r="B138" s="8"/>
      <x:c r="C138" s="9"/>
      <x:c r="D138" s="8"/>
      <x:c r="E138" s="8"/>
      <x:c r="F138" s="9"/>
      <x:c r="G138" s="10"/>
      <x:c r="H138" s="10" t="str">
        <x:f>IF(OR(C138="",G138=""),"",C138*G138)</x:f>
      </x:c>
      <x:c r="I138" s="8"/>
      <x:c r="J138" s="9"/>
      <x:c r="K138" s="10" t="str">
        <x:f>IF(OR(C138="",G138=""),"",MAX(C138-N(J138),0)*G138)</x:f>
      </x:c>
      <x:c r="L138" s="11" t="str">
        <x:f>IF(C138="","",IF(N(J138)&gt;=C138,"Yes","No"))</x:f>
      </x:c>
    </x:row>
    <x:row r="139">
      <x:c r="A139" s="8"/>
      <x:c r="B139" s="8"/>
      <x:c r="C139" s="9"/>
      <x:c r="D139" s="8"/>
      <x:c r="E139" s="8"/>
      <x:c r="F139" s="9"/>
      <x:c r="G139" s="10"/>
      <x:c r="H139" s="10" t="str">
        <x:f>IF(OR(C139="",G139=""),"",C139*G139)</x:f>
      </x:c>
      <x:c r="I139" s="8"/>
      <x:c r="J139" s="9"/>
      <x:c r="K139" s="10" t="str">
        <x:f>IF(OR(C139="",G139=""),"",MAX(C139-N(J139),0)*G139)</x:f>
      </x:c>
      <x:c r="L139" s="11" t="str">
        <x:f>IF(C139="","",IF(N(J139)&gt;=C139,"Yes","No"))</x:f>
      </x:c>
    </x:row>
    <x:row r="140">
      <x:c r="A140" s="8"/>
      <x:c r="B140" s="8"/>
      <x:c r="C140" s="9"/>
      <x:c r="D140" s="8"/>
      <x:c r="E140" s="8"/>
      <x:c r="F140" s="9"/>
      <x:c r="G140" s="10"/>
      <x:c r="H140" s="10" t="str">
        <x:f>IF(OR(C140="",G140=""),"",C140*G140)</x:f>
      </x:c>
      <x:c r="I140" s="8"/>
      <x:c r="J140" s="9"/>
      <x:c r="K140" s="10" t="str">
        <x:f>IF(OR(C140="",G140=""),"",MAX(C140-N(J140),0)*G140)</x:f>
      </x:c>
      <x:c r="L140" s="11" t="str">
        <x:f>IF(C140="","",IF(N(J140)&gt;=C140,"Yes","No"))</x:f>
      </x:c>
    </x:row>
    <x:row r="141">
      <x:c r="A141" s="8"/>
      <x:c r="B141" s="8"/>
      <x:c r="C141" s="9"/>
      <x:c r="D141" s="8"/>
      <x:c r="E141" s="8"/>
      <x:c r="F141" s="9"/>
      <x:c r="G141" s="10"/>
      <x:c r="H141" s="10" t="str">
        <x:f>IF(OR(C141="",G141=""),"",C141*G141)</x:f>
      </x:c>
      <x:c r="I141" s="8"/>
      <x:c r="J141" s="9"/>
      <x:c r="K141" s="10" t="str">
        <x:f>IF(OR(C141="",G141=""),"",MAX(C141-N(J141),0)*G141)</x:f>
      </x:c>
      <x:c r="L141" s="11" t="str">
        <x:f>IF(C141="","",IF(N(J141)&gt;=C141,"Yes","No"))</x:f>
      </x:c>
    </x:row>
    <x:row r="142">
      <x:c r="A142" s="8"/>
      <x:c r="B142" s="8"/>
      <x:c r="C142" s="9"/>
      <x:c r="D142" s="8"/>
      <x:c r="E142" s="8"/>
      <x:c r="F142" s="9"/>
      <x:c r="G142" s="10"/>
      <x:c r="H142" s="10" t="str">
        <x:f>IF(OR(C142="",G142=""),"",C142*G142)</x:f>
      </x:c>
      <x:c r="I142" s="8"/>
      <x:c r="J142" s="9"/>
      <x:c r="K142" s="10" t="str">
        <x:f>IF(OR(C142="",G142=""),"",MAX(C142-N(J142),0)*G142)</x:f>
      </x:c>
      <x:c r="L142" s="11" t="str">
        <x:f>IF(C142="","",IF(N(J142)&gt;=C142,"Yes","No"))</x:f>
      </x:c>
    </x:row>
    <x:row r="143">
      <x:c r="A143" s="8"/>
      <x:c r="B143" s="8"/>
      <x:c r="C143" s="9"/>
      <x:c r="D143" s="8"/>
      <x:c r="E143" s="8"/>
      <x:c r="F143" s="9"/>
      <x:c r="G143" s="10"/>
      <x:c r="H143" s="10" t="str">
        <x:f>IF(OR(C143="",G143=""),"",C143*G143)</x:f>
      </x:c>
      <x:c r="I143" s="8"/>
      <x:c r="J143" s="9"/>
      <x:c r="K143" s="10" t="str">
        <x:f>IF(OR(C143="",G143=""),"",MAX(C143-N(J143),0)*G143)</x:f>
      </x:c>
      <x:c r="L143" s="11" t="str">
        <x:f>IF(C143="","",IF(N(J143)&gt;=C143,"Yes","No"))</x:f>
      </x:c>
    </x:row>
    <x:row r="144">
      <x:c r="A144" s="8"/>
      <x:c r="B144" s="8"/>
      <x:c r="C144" s="9"/>
      <x:c r="D144" s="8"/>
      <x:c r="E144" s="8"/>
      <x:c r="F144" s="9"/>
      <x:c r="G144" s="10"/>
      <x:c r="H144" s="10" t="str">
        <x:f>IF(OR(C144="",G144=""),"",C144*G144)</x:f>
      </x:c>
      <x:c r="I144" s="8"/>
      <x:c r="J144" s="9"/>
      <x:c r="K144" s="10" t="str">
        <x:f>IF(OR(C144="",G144=""),"",MAX(C144-N(J144),0)*G144)</x:f>
      </x:c>
      <x:c r="L144" s="11" t="str">
        <x:f>IF(C144="","",IF(N(J144)&gt;=C144,"Yes","No"))</x:f>
      </x:c>
    </x:row>
    <x:row r="145">
      <x:c r="A145" s="8"/>
      <x:c r="B145" s="8"/>
      <x:c r="C145" s="9"/>
      <x:c r="D145" s="8"/>
      <x:c r="E145" s="8"/>
      <x:c r="F145" s="9"/>
      <x:c r="G145" s="10"/>
      <x:c r="H145" s="10" t="str">
        <x:f>IF(OR(C145="",G145=""),"",C145*G145)</x:f>
      </x:c>
      <x:c r="I145" s="8"/>
      <x:c r="J145" s="9"/>
      <x:c r="K145" s="10" t="str">
        <x:f>IF(OR(C145="",G145=""),"",MAX(C145-N(J145),0)*G145)</x:f>
      </x:c>
      <x:c r="L145" s="11" t="str">
        <x:f>IF(C145="","",IF(N(J145)&gt;=C145,"Yes","No"))</x:f>
      </x:c>
    </x:row>
    <x:row r="146">
      <x:c r="A146" s="8"/>
      <x:c r="B146" s="8"/>
      <x:c r="C146" s="9"/>
      <x:c r="D146" s="8"/>
      <x:c r="E146" s="8"/>
      <x:c r="F146" s="9"/>
      <x:c r="G146" s="10"/>
      <x:c r="H146" s="10" t="str">
        <x:f>IF(OR(C146="",G146=""),"",C146*G146)</x:f>
      </x:c>
      <x:c r="I146" s="8"/>
      <x:c r="J146" s="9"/>
      <x:c r="K146" s="10" t="str">
        <x:f>IF(OR(C146="",G146=""),"",MAX(C146-N(J146),0)*G146)</x:f>
      </x:c>
      <x:c r="L146" s="11" t="str">
        <x:f>IF(C146="","",IF(N(J146)&gt;=C146,"Yes","No"))</x:f>
      </x:c>
    </x:row>
    <x:row r="147">
      <x:c r="A147" s="8"/>
      <x:c r="B147" s="8"/>
      <x:c r="C147" s="9"/>
      <x:c r="D147" s="8"/>
      <x:c r="E147" s="8"/>
      <x:c r="F147" s="9"/>
      <x:c r="G147" s="10"/>
      <x:c r="H147" s="10" t="str">
        <x:f>IF(OR(C147="",G147=""),"",C147*G147)</x:f>
      </x:c>
      <x:c r="I147" s="8"/>
      <x:c r="J147" s="9"/>
      <x:c r="K147" s="10" t="str">
        <x:f>IF(OR(C147="",G147=""),"",MAX(C147-N(J147),0)*G147)</x:f>
      </x:c>
      <x:c r="L147" s="11" t="str">
        <x:f>IF(C147="","",IF(N(J147)&gt;=C147,"Yes","No"))</x:f>
      </x:c>
    </x:row>
    <x:row r="148">
      <x:c r="A148" s="8"/>
      <x:c r="B148" s="8"/>
      <x:c r="C148" s="9"/>
      <x:c r="D148" s="8"/>
      <x:c r="E148" s="8"/>
      <x:c r="F148" s="9"/>
      <x:c r="G148" s="10"/>
      <x:c r="H148" s="10" t="str">
        <x:f>IF(OR(C148="",G148=""),"",C148*G148)</x:f>
      </x:c>
      <x:c r="I148" s="8"/>
      <x:c r="J148" s="9"/>
      <x:c r="K148" s="10" t="str">
        <x:f>IF(OR(C148="",G148=""),"",MAX(C148-N(J148),0)*G148)</x:f>
      </x:c>
      <x:c r="L148" s="11" t="str">
        <x:f>IF(C148="","",IF(N(J148)&gt;=C148,"Yes","No"))</x:f>
      </x:c>
    </x:row>
    <x:row r="149">
      <x:c r="A149" s="8"/>
      <x:c r="B149" s="8"/>
      <x:c r="C149" s="9"/>
      <x:c r="D149" s="8"/>
      <x:c r="E149" s="8"/>
      <x:c r="F149" s="9"/>
      <x:c r="G149" s="10"/>
      <x:c r="H149" s="10" t="str">
        <x:f>IF(OR(C149="",G149=""),"",C149*G149)</x:f>
      </x:c>
      <x:c r="I149" s="8"/>
      <x:c r="J149" s="9"/>
      <x:c r="K149" s="10" t="str">
        <x:f>IF(OR(C149="",G149=""),"",MAX(C149-N(J149),0)*G149)</x:f>
      </x:c>
      <x:c r="L149" s="11" t="str">
        <x:f>IF(C149="","",IF(N(J149)&gt;=C149,"Yes","No"))</x:f>
      </x:c>
    </x:row>
    <x:row r="150">
      <x:c r="A150" s="8"/>
      <x:c r="B150" s="8"/>
      <x:c r="C150" s="9"/>
      <x:c r="D150" s="8"/>
      <x:c r="E150" s="8"/>
      <x:c r="F150" s="9"/>
      <x:c r="G150" s="10"/>
      <x:c r="H150" s="10" t="str">
        <x:f>IF(OR(C150="",G150=""),"",C150*G150)</x:f>
      </x:c>
      <x:c r="I150" s="8"/>
      <x:c r="J150" s="9"/>
      <x:c r="K150" s="10" t="str">
        <x:f>IF(OR(C150="",G150=""),"",MAX(C150-N(J150),0)*G150)</x:f>
      </x:c>
      <x:c r="L150" s="11" t="str">
        <x:f>IF(C150="","",IF(N(J150)&gt;=C150,"Yes","No"))</x:f>
      </x:c>
    </x:row>
    <x:row r="151">
      <x:c r="A151" s="8"/>
      <x:c r="B151" s="8"/>
      <x:c r="C151" s="9"/>
      <x:c r="D151" s="8"/>
      <x:c r="E151" s="8"/>
      <x:c r="F151" s="9"/>
      <x:c r="G151" s="10"/>
      <x:c r="H151" s="10" t="str">
        <x:f>IF(OR(C151="",G151=""),"",C151*G151)</x:f>
      </x:c>
      <x:c r="I151" s="8"/>
      <x:c r="J151" s="9"/>
      <x:c r="K151" s="10" t="str">
        <x:f>IF(OR(C151="",G151=""),"",MAX(C151-N(J151),0)*G151)</x:f>
      </x:c>
      <x:c r="L151" s="11" t="str">
        <x:f>IF(C151="","",IF(N(J151)&gt;=C151,"Yes","No"))</x:f>
      </x:c>
    </x:row>
    <x:row r="152">
      <x:c r="A152" s="8"/>
      <x:c r="B152" s="8"/>
      <x:c r="C152" s="9"/>
      <x:c r="D152" s="8"/>
      <x:c r="E152" s="8"/>
      <x:c r="F152" s="9"/>
      <x:c r="G152" s="10"/>
      <x:c r="H152" s="10" t="str">
        <x:f>IF(OR(C152="",G152=""),"",C152*G152)</x:f>
      </x:c>
      <x:c r="I152" s="8"/>
      <x:c r="J152" s="9"/>
      <x:c r="K152" s="10" t="str">
        <x:f>IF(OR(C152="",G152=""),"",MAX(C152-N(J152),0)*G152)</x:f>
      </x:c>
      <x:c r="L152" s="11" t="str">
        <x:f>IF(C152="","",IF(N(J152)&gt;=C152,"Yes","No"))</x:f>
      </x:c>
    </x:row>
    <x:row r="153">
      <x:c r="A153" s="8"/>
      <x:c r="B153" s="8"/>
      <x:c r="C153" s="9"/>
      <x:c r="D153" s="8"/>
      <x:c r="E153" s="8"/>
      <x:c r="F153" s="9"/>
      <x:c r="G153" s="10"/>
      <x:c r="H153" s="10" t="str">
        <x:f>IF(OR(C153="",G153=""),"",C153*G153)</x:f>
      </x:c>
      <x:c r="I153" s="8"/>
      <x:c r="J153" s="9"/>
      <x:c r="K153" s="10" t="str">
        <x:f>IF(OR(C153="",G153=""),"",MAX(C153-N(J153),0)*G153)</x:f>
      </x:c>
      <x:c r="L153" s="11" t="str">
        <x:f>IF(C153="","",IF(N(J153)&gt;=C153,"Yes","No"))</x:f>
      </x:c>
    </x:row>
    <x:row r="154">
      <x:c r="A154" s="8"/>
      <x:c r="B154" s="8"/>
      <x:c r="C154" s="9"/>
      <x:c r="D154" s="8"/>
      <x:c r="E154" s="8"/>
      <x:c r="F154" s="9"/>
      <x:c r="G154" s="10"/>
      <x:c r="H154" s="10" t="str">
        <x:f>IF(OR(C154="",G154=""),"",C154*G154)</x:f>
      </x:c>
      <x:c r="I154" s="8"/>
      <x:c r="J154" s="9"/>
      <x:c r="K154" s="10" t="str">
        <x:f>IF(OR(C154="",G154=""),"",MAX(C154-N(J154),0)*G154)</x:f>
      </x:c>
      <x:c r="L154" s="11" t="str">
        <x:f>IF(C154="","",IF(N(J154)&gt;=C154,"Yes","No"))</x:f>
      </x:c>
    </x:row>
    <x:row r="155">
      <x:c r="A155" s="8"/>
      <x:c r="B155" s="8"/>
      <x:c r="C155" s="9"/>
      <x:c r="D155" s="8"/>
      <x:c r="E155" s="8"/>
      <x:c r="F155" s="9"/>
      <x:c r="G155" s="10"/>
      <x:c r="H155" s="10" t="str">
        <x:f>IF(OR(C155="",G155=""),"",C155*G155)</x:f>
      </x:c>
      <x:c r="I155" s="8"/>
      <x:c r="J155" s="9"/>
      <x:c r="K155" s="10" t="str">
        <x:f>IF(OR(C155="",G155=""),"",MAX(C155-N(J155),0)*G155)</x:f>
      </x:c>
      <x:c r="L155" s="11" t="str">
        <x:f>IF(C155="","",IF(N(J155)&gt;=C155,"Yes","No"))</x:f>
      </x:c>
    </x:row>
    <x:row r="156">
      <x:c r="A156" s="8"/>
      <x:c r="B156" s="8"/>
      <x:c r="C156" s="9"/>
      <x:c r="D156" s="8"/>
      <x:c r="E156" s="8"/>
      <x:c r="F156" s="9"/>
      <x:c r="G156" s="10"/>
      <x:c r="H156" s="10" t="str">
        <x:f>IF(OR(C156="",G156=""),"",C156*G156)</x:f>
      </x:c>
      <x:c r="I156" s="8"/>
      <x:c r="J156" s="9"/>
      <x:c r="K156" s="10" t="str">
        <x:f>IF(OR(C156="",G156=""),"",MAX(C156-N(J156),0)*G156)</x:f>
      </x:c>
      <x:c r="L156" s="11" t="str">
        <x:f>IF(C156="","",IF(N(J156)&gt;=C156,"Yes","No"))</x:f>
      </x:c>
    </x:row>
    <x:row r="157">
      <x:c r="A157" s="8"/>
      <x:c r="B157" s="8"/>
      <x:c r="C157" s="9"/>
      <x:c r="D157" s="8"/>
      <x:c r="E157" s="8"/>
      <x:c r="F157" s="9"/>
      <x:c r="G157" s="10"/>
      <x:c r="H157" s="10" t="str">
        <x:f>IF(OR(C157="",G157=""),"",C157*G157)</x:f>
      </x:c>
      <x:c r="I157" s="8"/>
      <x:c r="J157" s="9"/>
      <x:c r="K157" s="10" t="str">
        <x:f>IF(OR(C157="",G157=""),"",MAX(C157-N(J157),0)*G157)</x:f>
      </x:c>
      <x:c r="L157" s="11" t="str">
        <x:f>IF(C157="","",IF(N(J157)&gt;=C157,"Yes","No"))</x:f>
      </x:c>
    </x:row>
    <x:row r="158">
      <x:c r="A158" s="8"/>
      <x:c r="B158" s="8"/>
      <x:c r="C158" s="9"/>
      <x:c r="D158" s="8"/>
      <x:c r="E158" s="8"/>
      <x:c r="F158" s="9"/>
      <x:c r="G158" s="10"/>
      <x:c r="H158" s="10" t="str">
        <x:f>IF(OR(C158="",G158=""),"",C158*G158)</x:f>
      </x:c>
      <x:c r="I158" s="8"/>
      <x:c r="J158" s="9"/>
      <x:c r="K158" s="10" t="str">
        <x:f>IF(OR(C158="",G158=""),"",MAX(C158-N(J158),0)*G158)</x:f>
      </x:c>
      <x:c r="L158" s="11" t="str">
        <x:f>IF(C158="","",IF(N(J158)&gt;=C158,"Yes","No"))</x:f>
      </x:c>
    </x:row>
    <x:row r="159">
      <x:c r="A159" s="8"/>
      <x:c r="B159" s="8"/>
      <x:c r="C159" s="9"/>
      <x:c r="D159" s="8"/>
      <x:c r="E159" s="8"/>
      <x:c r="F159" s="9"/>
      <x:c r="G159" s="10"/>
      <x:c r="H159" s="10" t="str">
        <x:f>IF(OR(C159="",G159=""),"",C159*G159)</x:f>
      </x:c>
      <x:c r="I159" s="8"/>
      <x:c r="J159" s="9"/>
      <x:c r="K159" s="10" t="str">
        <x:f>IF(OR(C159="",G159=""),"",MAX(C159-N(J159),0)*G159)</x:f>
      </x:c>
      <x:c r="L159" s="11" t="str">
        <x:f>IF(C159="","",IF(N(J159)&gt;=C159,"Yes","No"))</x:f>
      </x:c>
    </x:row>
    <x:row r="160">
      <x:c r="A160" s="8"/>
      <x:c r="B160" s="8"/>
      <x:c r="C160" s="9"/>
      <x:c r="D160" s="8"/>
      <x:c r="E160" s="8"/>
      <x:c r="F160" s="9"/>
      <x:c r="G160" s="10"/>
      <x:c r="H160" s="10" t="str">
        <x:f>IF(OR(C160="",G160=""),"",C160*G160)</x:f>
      </x:c>
      <x:c r="I160" s="8"/>
      <x:c r="J160" s="9"/>
      <x:c r="K160" s="10" t="str">
        <x:f>IF(OR(C160="",G160=""),"",MAX(C160-N(J160),0)*G160)</x:f>
      </x:c>
      <x:c r="L160" s="11" t="str">
        <x:f>IF(C160="","",IF(N(J160)&gt;=C160,"Yes","No"))</x:f>
      </x:c>
    </x:row>
    <x:row r="161">
      <x:c r="A161" s="8"/>
      <x:c r="B161" s="8"/>
      <x:c r="C161" s="9"/>
      <x:c r="D161" s="8"/>
      <x:c r="E161" s="8"/>
      <x:c r="F161" s="9"/>
      <x:c r="G161" s="10"/>
      <x:c r="H161" s="10" t="str">
        <x:f>IF(OR(C161="",G161=""),"",C161*G161)</x:f>
      </x:c>
      <x:c r="I161" s="8"/>
      <x:c r="J161" s="9"/>
      <x:c r="K161" s="10" t="str">
        <x:f>IF(OR(C161="",G161=""),"",MAX(C161-N(J161),0)*G161)</x:f>
      </x:c>
      <x:c r="L161" s="11" t="str">
        <x:f>IF(C161="","",IF(N(J161)&gt;=C161,"Yes","No"))</x:f>
      </x:c>
    </x:row>
    <x:row r="162">
      <x:c r="A162" s="8"/>
      <x:c r="B162" s="8"/>
      <x:c r="C162" s="9"/>
      <x:c r="D162" s="8"/>
      <x:c r="E162" s="8"/>
      <x:c r="F162" s="9"/>
      <x:c r="G162" s="10"/>
      <x:c r="H162" s="10" t="str">
        <x:f>IF(OR(C162="",G162=""),"",C162*G162)</x:f>
      </x:c>
      <x:c r="I162" s="8"/>
      <x:c r="J162" s="9"/>
      <x:c r="K162" s="10" t="str">
        <x:f>IF(OR(C162="",G162=""),"",MAX(C162-N(J162),0)*G162)</x:f>
      </x:c>
      <x:c r="L162" s="11" t="str">
        <x:f>IF(C162="","",IF(N(J162)&gt;=C162,"Yes","No"))</x:f>
      </x:c>
    </x:row>
    <x:row r="163">
      <x:c r="A163" s="8"/>
      <x:c r="B163" s="8"/>
      <x:c r="C163" s="9"/>
      <x:c r="D163" s="8"/>
      <x:c r="E163" s="8"/>
      <x:c r="F163" s="9"/>
      <x:c r="G163" s="10"/>
      <x:c r="H163" s="10" t="str">
        <x:f>IF(OR(C163="",G163=""),"",C163*G163)</x:f>
      </x:c>
      <x:c r="I163" s="8"/>
      <x:c r="J163" s="9"/>
      <x:c r="K163" s="10" t="str">
        <x:f>IF(OR(C163="",G163=""),"",MAX(C163-N(J163),0)*G163)</x:f>
      </x:c>
      <x:c r="L163" s="11" t="str">
        <x:f>IF(C163="","",IF(N(J163)&gt;=C163,"Yes","No"))</x:f>
      </x:c>
    </x:row>
    <x:row r="164">
      <x:c r="A164" s="8"/>
      <x:c r="B164" s="8"/>
      <x:c r="C164" s="9"/>
      <x:c r="D164" s="8"/>
      <x:c r="E164" s="8"/>
      <x:c r="F164" s="9"/>
      <x:c r="G164" s="10"/>
      <x:c r="H164" s="10" t="str">
        <x:f>IF(OR(C164="",G164=""),"",C164*G164)</x:f>
      </x:c>
      <x:c r="I164" s="8"/>
      <x:c r="J164" s="9"/>
      <x:c r="K164" s="10" t="str">
        <x:f>IF(OR(C164="",G164=""),"",MAX(C164-N(J164),0)*G164)</x:f>
      </x:c>
      <x:c r="L164" s="11" t="str">
        <x:f>IF(C164="","",IF(N(J164)&gt;=C164,"Yes","No"))</x:f>
      </x:c>
    </x:row>
    <x:row r="165">
      <x:c r="A165" s="8"/>
      <x:c r="B165" s="8"/>
      <x:c r="C165" s="9"/>
      <x:c r="D165" s="8"/>
      <x:c r="E165" s="8"/>
      <x:c r="F165" s="9"/>
      <x:c r="G165" s="10"/>
      <x:c r="H165" s="10" t="str">
        <x:f>IF(OR(C165="",G165=""),"",C165*G165)</x:f>
      </x:c>
      <x:c r="I165" s="8"/>
      <x:c r="J165" s="9"/>
      <x:c r="K165" s="10" t="str">
        <x:f>IF(OR(C165="",G165=""),"",MAX(C165-N(J165),0)*G165)</x:f>
      </x:c>
      <x:c r="L165" s="11" t="str">
        <x:f>IF(C165="","",IF(N(J165)&gt;=C165,"Yes","No"))</x:f>
      </x:c>
    </x:row>
    <x:row r="166">
      <x:c r="A166" s="8"/>
      <x:c r="B166" s="8"/>
      <x:c r="C166" s="9"/>
      <x:c r="D166" s="8"/>
      <x:c r="E166" s="8"/>
      <x:c r="F166" s="9"/>
      <x:c r="G166" s="10"/>
      <x:c r="H166" s="10" t="str">
        <x:f>IF(OR(C166="",G166=""),"",C166*G166)</x:f>
      </x:c>
      <x:c r="I166" s="8"/>
      <x:c r="J166" s="9"/>
      <x:c r="K166" s="10" t="str">
        <x:f>IF(OR(C166="",G166=""),"",MAX(C166-N(J166),0)*G166)</x:f>
      </x:c>
      <x:c r="L166" s="11" t="str">
        <x:f>IF(C166="","",IF(N(J166)&gt;=C166,"Yes","No"))</x:f>
      </x:c>
    </x:row>
    <x:row r="167">
      <x:c r="A167" s="8"/>
      <x:c r="B167" s="8"/>
      <x:c r="C167" s="9"/>
      <x:c r="D167" s="8"/>
      <x:c r="E167" s="8"/>
      <x:c r="F167" s="9"/>
      <x:c r="G167" s="10"/>
      <x:c r="H167" s="10" t="str">
        <x:f>IF(OR(C167="",G167=""),"",C167*G167)</x:f>
      </x:c>
      <x:c r="I167" s="8"/>
      <x:c r="J167" s="9"/>
      <x:c r="K167" s="10" t="str">
        <x:f>IF(OR(C167="",G167=""),"",MAX(C167-N(J167),0)*G167)</x:f>
      </x:c>
      <x:c r="L167" s="11" t="str">
        <x:f>IF(C167="","",IF(N(J167)&gt;=C167,"Yes","No"))</x:f>
      </x:c>
    </x:row>
    <x:row r="168">
      <x:c r="A168" s="8"/>
      <x:c r="B168" s="8"/>
      <x:c r="C168" s="9"/>
      <x:c r="D168" s="8"/>
      <x:c r="E168" s="8"/>
      <x:c r="F168" s="9"/>
      <x:c r="G168" s="10"/>
      <x:c r="H168" s="10" t="str">
        <x:f>IF(OR(C168="",G168=""),"",C168*G168)</x:f>
      </x:c>
      <x:c r="I168" s="8"/>
      <x:c r="J168" s="9"/>
      <x:c r="K168" s="10" t="str">
        <x:f>IF(OR(C168="",G168=""),"",MAX(C168-N(J168),0)*G168)</x:f>
      </x:c>
      <x:c r="L168" s="11" t="str">
        <x:f>IF(C168="","",IF(N(J168)&gt;=C168,"Yes","No"))</x:f>
      </x:c>
    </x:row>
    <x:row r="169">
      <x:c r="A169" s="8"/>
      <x:c r="B169" s="8"/>
      <x:c r="C169" s="9"/>
      <x:c r="D169" s="8"/>
      <x:c r="E169" s="8"/>
      <x:c r="F169" s="9"/>
      <x:c r="G169" s="10"/>
      <x:c r="H169" s="10" t="str">
        <x:f>IF(OR(C169="",G169=""),"",C169*G169)</x:f>
      </x:c>
      <x:c r="I169" s="8"/>
      <x:c r="J169" s="9"/>
      <x:c r="K169" s="10" t="str">
        <x:f>IF(OR(C169="",G169=""),"",MAX(C169-N(J169),0)*G169)</x:f>
      </x:c>
      <x:c r="L169" s="11" t="str">
        <x:f>IF(C169="","",IF(N(J169)&gt;=C169,"Yes","No"))</x:f>
      </x:c>
    </x:row>
    <x:row r="170">
      <x:c r="A170" s="8"/>
      <x:c r="B170" s="8"/>
      <x:c r="C170" s="9"/>
      <x:c r="D170" s="8"/>
      <x:c r="E170" s="8"/>
      <x:c r="F170" s="9"/>
      <x:c r="G170" s="10"/>
      <x:c r="H170" s="10" t="str">
        <x:f>IF(OR(C170="",G170=""),"",C170*G170)</x:f>
      </x:c>
      <x:c r="I170" s="8"/>
      <x:c r="J170" s="9"/>
      <x:c r="K170" s="10" t="str">
        <x:f>IF(OR(C170="",G170=""),"",MAX(C170-N(J170),0)*G170)</x:f>
      </x:c>
      <x:c r="L170" s="11" t="str">
        <x:f>IF(C170="","",IF(N(J170)&gt;=C170,"Yes","No"))</x:f>
      </x:c>
    </x:row>
    <x:row r="171">
      <x:c r="A171" s="8"/>
      <x:c r="B171" s="8"/>
      <x:c r="C171" s="9"/>
      <x:c r="D171" s="8"/>
      <x:c r="E171" s="8"/>
      <x:c r="F171" s="9"/>
      <x:c r="G171" s="10"/>
      <x:c r="H171" s="10" t="str">
        <x:f>IF(OR(C171="",G171=""),"",C171*G171)</x:f>
      </x:c>
      <x:c r="I171" s="8"/>
      <x:c r="J171" s="9"/>
      <x:c r="K171" s="10" t="str">
        <x:f>IF(OR(C171="",G171=""),"",MAX(C171-N(J171),0)*G171)</x:f>
      </x:c>
      <x:c r="L171" s="11" t="str">
        <x:f>IF(C171="","",IF(N(J171)&gt;=C171,"Yes","No"))</x:f>
      </x:c>
    </x:row>
    <x:row r="172">
      <x:c r="A172" s="8"/>
      <x:c r="B172" s="8"/>
      <x:c r="C172" s="9"/>
      <x:c r="D172" s="8"/>
      <x:c r="E172" s="8"/>
      <x:c r="F172" s="9"/>
      <x:c r="G172" s="10"/>
      <x:c r="H172" s="10" t="str">
        <x:f>IF(OR(C172="",G172=""),"",C172*G172)</x:f>
      </x:c>
      <x:c r="I172" s="8"/>
      <x:c r="J172" s="9"/>
      <x:c r="K172" s="10" t="str">
        <x:f>IF(OR(C172="",G172=""),"",MAX(C172-N(J172),0)*G172)</x:f>
      </x:c>
      <x:c r="L172" s="11" t="str">
        <x:f>IF(C172="","",IF(N(J172)&gt;=C172,"Yes","No"))</x:f>
      </x:c>
    </x:row>
    <x:row r="173">
      <x:c r="A173" s="8"/>
      <x:c r="B173" s="8"/>
      <x:c r="C173" s="9"/>
      <x:c r="D173" s="8"/>
      <x:c r="E173" s="8"/>
      <x:c r="F173" s="9"/>
      <x:c r="G173" s="10"/>
      <x:c r="H173" s="10" t="str">
        <x:f>IF(OR(C173="",G173=""),"",C173*G173)</x:f>
      </x:c>
      <x:c r="I173" s="8"/>
      <x:c r="J173" s="9"/>
      <x:c r="K173" s="10" t="str">
        <x:f>IF(OR(C173="",G173=""),"",MAX(C173-N(J173),0)*G173)</x:f>
      </x:c>
      <x:c r="L173" s="11" t="str">
        <x:f>IF(C173="","",IF(N(J173)&gt;=C173,"Yes","No"))</x:f>
      </x:c>
    </x:row>
    <x:row r="174">
      <x:c r="A174" s="8"/>
      <x:c r="B174" s="8"/>
      <x:c r="C174" s="9"/>
      <x:c r="D174" s="8"/>
      <x:c r="E174" s="8"/>
      <x:c r="F174" s="9"/>
      <x:c r="G174" s="10"/>
      <x:c r="H174" s="10" t="str">
        <x:f>IF(OR(C174="",G174=""),"",C174*G174)</x:f>
      </x:c>
      <x:c r="I174" s="8"/>
      <x:c r="J174" s="9"/>
      <x:c r="K174" s="10" t="str">
        <x:f>IF(OR(C174="",G174=""),"",MAX(C174-N(J174),0)*G174)</x:f>
      </x:c>
      <x:c r="L174" s="11" t="str">
        <x:f>IF(C174="","",IF(N(J174)&gt;=C174,"Yes","No"))</x:f>
      </x:c>
    </x:row>
    <x:row r="175">
      <x:c r="A175" s="8"/>
      <x:c r="B175" s="8"/>
      <x:c r="C175" s="9"/>
      <x:c r="D175" s="8"/>
      <x:c r="E175" s="8"/>
      <x:c r="F175" s="9"/>
      <x:c r="G175" s="10"/>
      <x:c r="H175" s="10" t="str">
        <x:f>IF(OR(C175="",G175=""),"",C175*G175)</x:f>
      </x:c>
      <x:c r="I175" s="8"/>
      <x:c r="J175" s="9"/>
      <x:c r="K175" s="10" t="str">
        <x:f>IF(OR(C175="",G175=""),"",MAX(C175-N(J175),0)*G175)</x:f>
      </x:c>
      <x:c r="L175" s="11" t="str">
        <x:f>IF(C175="","",IF(N(J175)&gt;=C175,"Yes","No"))</x:f>
      </x:c>
    </x:row>
    <x:row r="176">
      <x:c r="A176" s="8"/>
      <x:c r="B176" s="8"/>
      <x:c r="C176" s="9"/>
      <x:c r="D176" s="8"/>
      <x:c r="E176" s="8"/>
      <x:c r="F176" s="9"/>
      <x:c r="G176" s="10"/>
      <x:c r="H176" s="10" t="str">
        <x:f>IF(OR(C176="",G176=""),"",C176*G176)</x:f>
      </x:c>
      <x:c r="I176" s="8"/>
      <x:c r="J176" s="9"/>
      <x:c r="K176" s="10" t="str">
        <x:f>IF(OR(C176="",G176=""),"",MAX(C176-N(J176),0)*G176)</x:f>
      </x:c>
      <x:c r="L176" s="11" t="str">
        <x:f>IF(C176="","",IF(N(J176)&gt;=C176,"Yes","No"))</x:f>
      </x:c>
    </x:row>
    <x:row r="177">
      <x:c r="A177" s="8"/>
      <x:c r="B177" s="8"/>
      <x:c r="C177" s="9"/>
      <x:c r="D177" s="8"/>
      <x:c r="E177" s="8"/>
      <x:c r="F177" s="9"/>
      <x:c r="G177" s="10"/>
      <x:c r="H177" s="10" t="str">
        <x:f>IF(OR(C177="",G177=""),"",C177*G177)</x:f>
      </x:c>
      <x:c r="I177" s="8"/>
      <x:c r="J177" s="9"/>
      <x:c r="K177" s="10" t="str">
        <x:f>IF(OR(C177="",G177=""),"",MAX(C177-N(J177),0)*G177)</x:f>
      </x:c>
      <x:c r="L177" s="11" t="str">
        <x:f>IF(C177="","",IF(N(J177)&gt;=C177,"Yes","No"))</x:f>
      </x:c>
    </x:row>
    <x:row r="178">
      <x:c r="A178" s="8"/>
      <x:c r="B178" s="8"/>
      <x:c r="C178" s="9"/>
      <x:c r="D178" s="8"/>
      <x:c r="E178" s="8"/>
      <x:c r="F178" s="9"/>
      <x:c r="G178" s="10"/>
      <x:c r="H178" s="10" t="str">
        <x:f>IF(OR(C178="",G178=""),"",C178*G178)</x:f>
      </x:c>
      <x:c r="I178" s="8"/>
      <x:c r="J178" s="9"/>
      <x:c r="K178" s="10" t="str">
        <x:f>IF(OR(C178="",G178=""),"",MAX(C178-N(J178),0)*G178)</x:f>
      </x:c>
      <x:c r="L178" s="11" t="str">
        <x:f>IF(C178="","",IF(N(J178)&gt;=C178,"Yes","No"))</x:f>
      </x:c>
    </x:row>
    <x:row r="179">
      <x:c r="A179" s="8"/>
      <x:c r="B179" s="8"/>
      <x:c r="C179" s="9"/>
      <x:c r="D179" s="8"/>
      <x:c r="E179" s="8"/>
      <x:c r="F179" s="9"/>
      <x:c r="G179" s="10"/>
      <x:c r="H179" s="10" t="str">
        <x:f>IF(OR(C179="",G179=""),"",C179*G179)</x:f>
      </x:c>
      <x:c r="I179" s="8"/>
      <x:c r="J179" s="9"/>
      <x:c r="K179" s="10" t="str">
        <x:f>IF(OR(C179="",G179=""),"",MAX(C179-N(J179),0)*G179)</x:f>
      </x:c>
      <x:c r="L179" s="11" t="str">
        <x:f>IF(C179="","",IF(N(J179)&gt;=C179,"Yes","No"))</x:f>
      </x:c>
    </x:row>
    <x:row r="180">
      <x:c r="A180" s="8"/>
      <x:c r="B180" s="8"/>
      <x:c r="C180" s="9"/>
      <x:c r="D180" s="8"/>
      <x:c r="E180" s="8"/>
      <x:c r="F180" s="9"/>
      <x:c r="G180" s="10"/>
      <x:c r="H180" s="10" t="str">
        <x:f>IF(OR(C180="",G180=""),"",C180*G180)</x:f>
      </x:c>
      <x:c r="I180" s="8"/>
      <x:c r="J180" s="9"/>
      <x:c r="K180" s="10" t="str">
        <x:f>IF(OR(C180="",G180=""),"",MAX(C180-N(J180),0)*G180)</x:f>
      </x:c>
      <x:c r="L180" s="11" t="str">
        <x:f>IF(C180="","",IF(N(J180)&gt;=C180,"Yes","No"))</x:f>
      </x:c>
    </x:row>
    <x:row r="181">
      <x:c r="A181" s="8"/>
      <x:c r="B181" s="8"/>
      <x:c r="C181" s="9"/>
      <x:c r="D181" s="8"/>
      <x:c r="E181" s="8"/>
      <x:c r="F181" s="9"/>
      <x:c r="G181" s="10"/>
      <x:c r="H181" s="10" t="str">
        <x:f>IF(OR(C181="",G181=""),"",C181*G181)</x:f>
      </x:c>
      <x:c r="I181" s="8"/>
      <x:c r="J181" s="9"/>
      <x:c r="K181" s="10" t="str">
        <x:f>IF(OR(C181="",G181=""),"",MAX(C181-N(J181),0)*G181)</x:f>
      </x:c>
      <x:c r="L181" s="11" t="str">
        <x:f>IF(C181="","",IF(N(J181)&gt;=C181,"Yes","No"))</x:f>
      </x:c>
    </x:row>
    <x:row r="182">
      <x:c r="A182" s="8"/>
      <x:c r="B182" s="8"/>
      <x:c r="C182" s="9"/>
      <x:c r="D182" s="8"/>
      <x:c r="E182" s="8"/>
      <x:c r="F182" s="9"/>
      <x:c r="G182" s="10"/>
      <x:c r="H182" s="10" t="str">
        <x:f>IF(OR(C182="",G182=""),"",C182*G182)</x:f>
      </x:c>
      <x:c r="I182" s="8"/>
      <x:c r="J182" s="9"/>
      <x:c r="K182" s="10" t="str">
        <x:f>IF(OR(C182="",G182=""),"",MAX(C182-N(J182),0)*G182)</x:f>
      </x:c>
      <x:c r="L182" s="11" t="str">
        <x:f>IF(C182="","",IF(N(J182)&gt;=C182,"Yes","No"))</x:f>
      </x:c>
    </x:row>
    <x:row r="183">
      <x:c r="A183" s="8"/>
      <x:c r="B183" s="8"/>
      <x:c r="C183" s="9"/>
      <x:c r="D183" s="8"/>
      <x:c r="E183" s="8"/>
      <x:c r="F183" s="9"/>
      <x:c r="G183" s="10"/>
      <x:c r="H183" s="10" t="str">
        <x:f>IF(OR(C183="",G183=""),"",C183*G183)</x:f>
      </x:c>
      <x:c r="I183" s="8"/>
      <x:c r="J183" s="9"/>
      <x:c r="K183" s="10" t="str">
        <x:f>IF(OR(C183="",G183=""),"",MAX(C183-N(J183),0)*G183)</x:f>
      </x:c>
      <x:c r="L183" s="11" t="str">
        <x:f>IF(C183="","",IF(N(J183)&gt;=C183,"Yes","No"))</x:f>
      </x:c>
    </x:row>
    <x:row r="184">
      <x:c r="A184" s="8"/>
      <x:c r="B184" s="8"/>
      <x:c r="C184" s="9"/>
      <x:c r="D184" s="8"/>
      <x:c r="E184" s="8"/>
      <x:c r="F184" s="9"/>
      <x:c r="G184" s="10"/>
      <x:c r="H184" s="10" t="str">
        <x:f>IF(OR(C184="",G184=""),"",C184*G184)</x:f>
      </x:c>
      <x:c r="I184" s="8"/>
      <x:c r="J184" s="9"/>
      <x:c r="K184" s="10" t="str">
        <x:f>IF(OR(C184="",G184=""),"",MAX(C184-N(J184),0)*G184)</x:f>
      </x:c>
      <x:c r="L184" s="11" t="str">
        <x:f>IF(C184="","",IF(N(J184)&gt;=C184,"Yes","No"))</x:f>
      </x:c>
    </x:row>
    <x:row r="185">
      <x:c r="A185" s="8"/>
      <x:c r="B185" s="8"/>
      <x:c r="C185" s="9"/>
      <x:c r="D185" s="8"/>
      <x:c r="E185" s="8"/>
      <x:c r="F185" s="9"/>
      <x:c r="G185" s="10"/>
      <x:c r="H185" s="10" t="str">
        <x:f>IF(OR(C185="",G185=""),"",C185*G185)</x:f>
      </x:c>
      <x:c r="I185" s="8"/>
      <x:c r="J185" s="9"/>
      <x:c r="K185" s="10" t="str">
        <x:f>IF(OR(C185="",G185=""),"",MAX(C185-N(J185),0)*G185)</x:f>
      </x:c>
      <x:c r="L185" s="11" t="str">
        <x:f>IF(C185="","",IF(N(J185)&gt;=C185,"Yes","No"))</x:f>
      </x:c>
    </x:row>
    <x:row r="186">
      <x:c r="A186" s="8"/>
      <x:c r="B186" s="8"/>
      <x:c r="C186" s="9"/>
      <x:c r="D186" s="8"/>
      <x:c r="E186" s="8"/>
      <x:c r="F186" s="9"/>
      <x:c r="G186" s="10"/>
      <x:c r="H186" s="10" t="str">
        <x:f>IF(OR(C186="",G186=""),"",C186*G186)</x:f>
      </x:c>
      <x:c r="I186" s="8"/>
      <x:c r="J186" s="9"/>
      <x:c r="K186" s="10" t="str">
        <x:f>IF(OR(C186="",G186=""),"",MAX(C186-N(J186),0)*G186)</x:f>
      </x:c>
      <x:c r="L186" s="11" t="str">
        <x:f>IF(C186="","",IF(N(J186)&gt;=C186,"Yes","No"))</x:f>
      </x:c>
    </x:row>
    <x:row r="187">
      <x:c r="A187" s="8"/>
      <x:c r="B187" s="8"/>
      <x:c r="C187" s="9"/>
      <x:c r="D187" s="8"/>
      <x:c r="E187" s="8"/>
      <x:c r="F187" s="9"/>
      <x:c r="G187" s="10"/>
      <x:c r="H187" s="10" t="str">
        <x:f>IF(OR(C187="",G187=""),"",C187*G187)</x:f>
      </x:c>
      <x:c r="I187" s="8"/>
      <x:c r="J187" s="9"/>
      <x:c r="K187" s="10" t="str">
        <x:f>IF(OR(C187="",G187=""),"",MAX(C187-N(J187),0)*G187)</x:f>
      </x:c>
      <x:c r="L187" s="11" t="str">
        <x:f>IF(C187="","",IF(N(J187)&gt;=C187,"Yes","No"))</x:f>
      </x:c>
    </x:row>
    <x:row r="188">
      <x:c r="A188" s="8"/>
      <x:c r="B188" s="8"/>
      <x:c r="C188" s="9"/>
      <x:c r="D188" s="8"/>
      <x:c r="E188" s="8"/>
      <x:c r="F188" s="9"/>
      <x:c r="G188" s="10"/>
      <x:c r="H188" s="10" t="str">
        <x:f>IF(OR(C188="",G188=""),"",C188*G188)</x:f>
      </x:c>
      <x:c r="I188" s="8"/>
      <x:c r="J188" s="9"/>
      <x:c r="K188" s="10" t="str">
        <x:f>IF(OR(C188="",G188=""),"",MAX(C188-N(J188),0)*G188)</x:f>
      </x:c>
      <x:c r="L188" s="11" t="str">
        <x:f>IF(C188="","",IF(N(J188)&gt;=C188,"Yes","No"))</x:f>
      </x:c>
    </x:row>
    <x:row r="189">
      <x:c r="A189" s="8"/>
      <x:c r="B189" s="8"/>
      <x:c r="C189" s="9"/>
      <x:c r="D189" s="8"/>
      <x:c r="E189" s="8"/>
      <x:c r="F189" s="9"/>
      <x:c r="G189" s="10"/>
      <x:c r="H189" s="10" t="str">
        <x:f>IF(OR(C189="",G189=""),"",C189*G189)</x:f>
      </x:c>
      <x:c r="I189" s="8"/>
      <x:c r="J189" s="9"/>
      <x:c r="K189" s="10" t="str">
        <x:f>IF(OR(C189="",G189=""),"",MAX(C189-N(J189),0)*G189)</x:f>
      </x:c>
      <x:c r="L189" s="11" t="str">
        <x:f>IF(C189="","",IF(N(J189)&gt;=C189,"Yes","No"))</x:f>
      </x:c>
    </x:row>
    <x:row r="190">
      <x:c r="A190" s="8"/>
      <x:c r="B190" s="8"/>
      <x:c r="C190" s="9"/>
      <x:c r="D190" s="8"/>
      <x:c r="E190" s="8"/>
      <x:c r="F190" s="9"/>
      <x:c r="G190" s="10"/>
      <x:c r="H190" s="10" t="str">
        <x:f>IF(OR(C190="",G190=""),"",C190*G190)</x:f>
      </x:c>
      <x:c r="I190" s="8"/>
      <x:c r="J190" s="9"/>
      <x:c r="K190" s="10" t="str">
        <x:f>IF(OR(C190="",G190=""),"",MAX(C190-N(J190),0)*G190)</x:f>
      </x:c>
      <x:c r="L190" s="11" t="str">
        <x:f>IF(C190="","",IF(N(J190)&gt;=C190,"Yes","No"))</x:f>
      </x:c>
    </x:row>
    <x:row r="191">
      <x:c r="A191" s="8"/>
      <x:c r="B191" s="8"/>
      <x:c r="C191" s="9"/>
      <x:c r="D191" s="8"/>
      <x:c r="E191" s="8"/>
      <x:c r="F191" s="9"/>
      <x:c r="G191" s="10"/>
      <x:c r="H191" s="10" t="str">
        <x:f>IF(OR(C191="",G191=""),"",C191*G191)</x:f>
      </x:c>
      <x:c r="I191" s="8"/>
      <x:c r="J191" s="9"/>
      <x:c r="K191" s="10" t="str">
        <x:f>IF(OR(C191="",G191=""),"",MAX(C191-N(J191),0)*G191)</x:f>
      </x:c>
      <x:c r="L191" s="11" t="str">
        <x:f>IF(C191="","",IF(N(J191)&gt;=C191,"Yes","No"))</x:f>
      </x:c>
    </x:row>
    <x:row r="192">
      <x:c r="A192" s="8"/>
      <x:c r="B192" s="8"/>
      <x:c r="C192" s="9"/>
      <x:c r="D192" s="8"/>
      <x:c r="E192" s="8"/>
      <x:c r="F192" s="9"/>
      <x:c r="G192" s="10"/>
      <x:c r="H192" s="10" t="str">
        <x:f>IF(OR(C192="",G192=""),"",C192*G192)</x:f>
      </x:c>
      <x:c r="I192" s="8"/>
      <x:c r="J192" s="9"/>
      <x:c r="K192" s="10" t="str">
        <x:f>IF(OR(C192="",G192=""),"",MAX(C192-N(J192),0)*G192)</x:f>
      </x:c>
      <x:c r="L192" s="11" t="str">
        <x:f>IF(C192="","",IF(N(J192)&gt;=C192,"Yes","No"))</x:f>
      </x:c>
    </x:row>
    <x:row r="193">
      <x:c r="A193" s="8"/>
      <x:c r="B193" s="8"/>
      <x:c r="C193" s="9"/>
      <x:c r="D193" s="8"/>
      <x:c r="E193" s="8"/>
      <x:c r="F193" s="9"/>
      <x:c r="G193" s="10"/>
      <x:c r="H193" s="10" t="str">
        <x:f>IF(OR(C193="",G193=""),"",C193*G193)</x:f>
      </x:c>
      <x:c r="I193" s="8"/>
      <x:c r="J193" s="9"/>
      <x:c r="K193" s="10" t="str">
        <x:f>IF(OR(C193="",G193=""),"",MAX(C193-N(J193),0)*G193)</x:f>
      </x:c>
      <x:c r="L193" s="11" t="str">
        <x:f>IF(C193="","",IF(N(J193)&gt;=C193,"Yes","No"))</x:f>
      </x:c>
    </x:row>
    <x:row r="194">
      <x:c r="A194" s="8"/>
      <x:c r="B194" s="8"/>
      <x:c r="C194" s="9"/>
      <x:c r="D194" s="8"/>
      <x:c r="E194" s="8"/>
      <x:c r="F194" s="9"/>
      <x:c r="G194" s="10"/>
      <x:c r="H194" s="10" t="str">
        <x:f>IF(OR(C194="",G194=""),"",C194*G194)</x:f>
      </x:c>
      <x:c r="I194" s="8"/>
      <x:c r="J194" s="9"/>
      <x:c r="K194" s="10" t="str">
        <x:f>IF(OR(C194="",G194=""),"",MAX(C194-N(J194),0)*G194)</x:f>
      </x:c>
      <x:c r="L194" s="11" t="str">
        <x:f>IF(C194="","",IF(N(J194)&gt;=C194,"Yes","No"))</x:f>
      </x:c>
    </x:row>
    <x:row r="195">
      <x:c r="A195" s="8"/>
      <x:c r="B195" s="8"/>
      <x:c r="C195" s="9"/>
      <x:c r="D195" s="8"/>
      <x:c r="E195" s="8"/>
      <x:c r="F195" s="9"/>
      <x:c r="G195" s="10"/>
      <x:c r="H195" s="10" t="str">
        <x:f>IF(OR(C195="",G195=""),"",C195*G195)</x:f>
      </x:c>
      <x:c r="I195" s="8"/>
      <x:c r="J195" s="9"/>
      <x:c r="K195" s="10" t="str">
        <x:f>IF(OR(C195="",G195=""),"",MAX(C195-N(J195),0)*G195)</x:f>
      </x:c>
      <x:c r="L195" s="11" t="str">
        <x:f>IF(C195="","",IF(N(J195)&gt;=C195,"Yes","No"))</x:f>
      </x:c>
    </x:row>
    <x:row r="196">
      <x:c r="A196" s="8"/>
      <x:c r="B196" s="8"/>
      <x:c r="C196" s="9"/>
      <x:c r="D196" s="8"/>
      <x:c r="E196" s="8"/>
      <x:c r="F196" s="9"/>
      <x:c r="G196" s="10"/>
      <x:c r="H196" s="10" t="str">
        <x:f>IF(OR(C196="",G196=""),"",C196*G196)</x:f>
      </x:c>
      <x:c r="I196" s="8"/>
      <x:c r="J196" s="9"/>
      <x:c r="K196" s="10" t="str">
        <x:f>IF(OR(C196="",G196=""),"",MAX(C196-N(J196),0)*G196)</x:f>
      </x:c>
      <x:c r="L196" s="11" t="str">
        <x:f>IF(C196="","",IF(N(J196)&gt;=C196,"Yes","No"))</x:f>
      </x:c>
    </x:row>
    <x:row r="197">
      <x:c r="A197" s="8"/>
      <x:c r="B197" s="8"/>
      <x:c r="C197" s="9"/>
      <x:c r="D197" s="8"/>
      <x:c r="E197" s="8"/>
      <x:c r="F197" s="9"/>
      <x:c r="G197" s="10"/>
      <x:c r="H197" s="10" t="str">
        <x:f>IF(OR(C197="",G197=""),"",C197*G197)</x:f>
      </x:c>
      <x:c r="I197" s="8"/>
      <x:c r="J197" s="9"/>
      <x:c r="K197" s="10" t="str">
        <x:f>IF(OR(C197="",G197=""),"",MAX(C197-N(J197),0)*G197)</x:f>
      </x:c>
      <x:c r="L197" s="11" t="str">
        <x:f>IF(C197="","",IF(N(J197)&gt;=C197,"Yes","No"))</x:f>
      </x:c>
    </x:row>
    <x:row r="198">
      <x:c r="A198" s="8"/>
      <x:c r="B198" s="8"/>
      <x:c r="C198" s="9"/>
      <x:c r="D198" s="8"/>
      <x:c r="E198" s="8"/>
      <x:c r="F198" s="9"/>
      <x:c r="G198" s="10"/>
      <x:c r="H198" s="10" t="str">
        <x:f>IF(OR(C198="",G198=""),"",C198*G198)</x:f>
      </x:c>
      <x:c r="I198" s="8"/>
      <x:c r="J198" s="9"/>
      <x:c r="K198" s="10" t="str">
        <x:f>IF(OR(C198="",G198=""),"",MAX(C198-N(J198),0)*G198)</x:f>
      </x:c>
      <x:c r="L198" s="11" t="str">
        <x:f>IF(C198="","",IF(N(J198)&gt;=C198,"Yes","No"))</x:f>
      </x:c>
    </x:row>
    <x:row r="199">
      <x:c r="A199" s="8"/>
      <x:c r="B199" s="8"/>
      <x:c r="C199" s="9"/>
      <x:c r="D199" s="8"/>
      <x:c r="E199" s="8"/>
      <x:c r="F199" s="9"/>
      <x:c r="G199" s="10"/>
      <x:c r="H199" s="10" t="str">
        <x:f>IF(OR(C199="",G199=""),"",C199*G199)</x:f>
      </x:c>
      <x:c r="I199" s="8"/>
      <x:c r="J199" s="9"/>
      <x:c r="K199" s="10" t="str">
        <x:f>IF(OR(C199="",G199=""),"",MAX(C199-N(J199),0)*G199)</x:f>
      </x:c>
      <x:c r="L199" s="11" t="str">
        <x:f>IF(C199="","",IF(N(J199)&gt;=C199,"Yes","No"))</x:f>
      </x:c>
    </x:row>
    <x:row r="200">
      <x:c r="A200" s="8"/>
      <x:c r="B200" s="8"/>
      <x:c r="C200" s="9"/>
      <x:c r="D200" s="8"/>
      <x:c r="E200" s="8"/>
      <x:c r="F200" s="9"/>
      <x:c r="G200" s="10"/>
      <x:c r="H200" s="10" t="str">
        <x:f>IF(OR(C200="",G200=""),"",C200*G200)</x:f>
      </x:c>
      <x:c r="I200" s="8"/>
      <x:c r="J200" s="9"/>
      <x:c r="K200" s="10" t="str">
        <x:f>IF(OR(C200="",G200=""),"",MAX(C200-N(J200),0)*G200)</x:f>
      </x:c>
      <x:c r="L200" s="11" t="str">
        <x:f>IF(C200="","",IF(N(J200)&gt;=C200,"Yes","No"))</x:f>
      </x:c>
    </x:row>
    <x:row r="201">
      <x:c r="A201" s="8"/>
      <x:c r="B201" s="8"/>
      <x:c r="C201" s="9"/>
      <x:c r="D201" s="8"/>
      <x:c r="E201" s="8"/>
      <x:c r="F201" s="9"/>
      <x:c r="G201" s="10"/>
      <x:c r="H201" s="10" t="str">
        <x:f>IF(OR(C201="",G201=""),"",C201*G201)</x:f>
      </x:c>
      <x:c r="I201" s="8"/>
      <x:c r="J201" s="9"/>
      <x:c r="K201" s="10" t="str">
        <x:f>IF(OR(C201="",G201=""),"",MAX(C201-N(J201),0)*G201)</x:f>
      </x:c>
      <x:c r="L201" s="11" t="str">
        <x:f>IF(C201="","",IF(N(J201)&gt;=C201,"Yes","No"))</x:f>
      </x:c>
    </x:row>
  </x:sheetData>
  <x:conditionalFormatting sqref="L2:L201">
    <x:cfRule type="cellIs" dxfId="0" priority="1" operator="equal">
      <x:formula>"Yes"</x:formula>
    </x:cfRule>
    <x:cfRule type="cellIs" dxfId="1" priority="2" operator="equal">
      <x:formula>"No"</x:formula>
    </x:cfRule>
  </x:conditionalFormatting>
  <x:conditionalFormatting sqref="A2:A201">
    <x:cfRule type="containsText" dxfId="2" priority="3" operator="containsText" text="High"/>
    <x:cfRule type="containsText" dxfId="3" priority="4" operator="containsText" text="Medium"/>
    <x:cfRule type="containsText" dxfId="4" priority="5" operator="containsText" text="Low"/>
  </x:conditionalFormatting>
  <x:dataValidations count="6">
    <x:dataValidation type="list" sqref="A2:A201">
      <x:formula1>"High,Medium,Low"</x:formula1>
    </x:dataValidation>
    <x:dataValidation type="list" sqref="D2:D201">
      <x:formula1>Lists!$A$2:$A$8</x:formula1>
    </x:dataValidation>
    <x:dataValidation type="list" sqref="I2:I201">
      <x:formula1>Lists!$C$2:$C$4</x:formula1>
    </x:dataValidation>
    <x:dataValidation type="whole" operator="between" sqref="C2:C201">
      <x:formula1>0</x:formula1>
      <x:formula2>100000</x:formula2>
    </x:dataValidation>
    <x:dataValidation type="decimal" operator="greaterThanOrEqual" sqref="F2:H201">
      <x:formula1>0</x:formula1>
    </x:dataValidation>
    <x:dataValidation type="whole" operator="between" sqref="J2:J201">
      <x:formula1>0</x:formula1>
      <x:formula2>100000</x:formula2>
    </x:dataValidation>
  </x:dataValidations>
  <x:pageMargins left="0.7" right="0.7" top="0.75" bottom="0.75" header="0.3" footer="0.3"/>
  <x:legacyDrawing xmlns:r="http://schemas.openxmlformats.org/officeDocument/2006/relationships" r:id="R75e7d07edaac4121"/>
  <x:tableParts count="1">
    <x:tablePart xmlns:r="http://schemas.openxmlformats.org/officeDocument/2006/relationships" r:id="R6bb029729e2241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3" max="3" width="11.25" hidden="0" customWidth="1"/>
  </x:cols>
  <x:sheetData>
    <x:row r="1" ht="27" customHeight="1">
      <x:c r="A1" s="14" t="str">
        <x:v>Tri Star Print Farm</x:v>
      </x:c>
      <x:c r="B1" s="14" t="str">
        <x:v>Tri Star Print Farm</x:v>
      </x:c>
      <x:c r="C1" s="14" t="str">
        <x:v>Tri Star Print Farm</x:v>
      </x:c>
      <x:c r="D1" s="14" t="str">
        <x:v>Tri Star Print Farm</x:v>
      </x:c>
      <x:c r="E1" s="14" t="str">
        <x:v>Tri Star Print Farm</x:v>
      </x:c>
      <x:c r="F1" s="14" t="str">
        <x:v>Tri Star Print Farm</x:v>
      </x:c>
    </x:row>
    <x:row r="3">
      <x:c r="A3" s="17" t="str">
        <x:v>Metric</x:v>
      </x:c>
      <x:c r="B3" s="17" t="str">
        <x:v>Value</x:v>
      </x:c>
      <x:c r="D3" s="17" t="str">
        <x:v>Printer</x:v>
      </x:c>
      <x:c r="E3" s="17" t="str">
        <x:v>Assigned Qty</x:v>
      </x:c>
      <x:c r="F3" s="17" t="str">
        <x:v>Hours Left</x:v>
      </x:c>
    </x:row>
    <x:row r="4">
      <x:c r="A4" s="18" t="str">
        <x:v>Total part quantity</x:v>
      </x:c>
      <x:c r="B4" s="20" t="n">
        <x:f>SUM('Print Tracker'!C2:C201)</x:f>
        <x:v>74</x:v>
      </x:c>
      <x:c r="D4" s="18" t="str">
        <x:v>Steve</x:v>
      </x:c>
      <x:c r="E4" s="20" t="n">
        <x:f>SUMIF('Print Tracker'!I2:I201,D4,'Print Tracker'!C2:C201)</x:f>
        <x:v>42</x:v>
      </x:c>
      <x:c r="F4" s="19" t="n">
        <x:f>SUMIF('Print Tracker'!I2:I201,D4,'Print Tracker'!K2:K201)</x:f>
        <x:v>55</x:v>
      </x:c>
    </x:row>
    <x:row r="5">
      <x:c r="A5" s="18" t="str">
        <x:v>Total qty printed</x:v>
      </x:c>
      <x:c r="B5" s="20" t="n">
        <x:f>SUM('Print Tracker'!J2:J201)</x:f>
        <x:v>38</x:v>
      </x:c>
      <x:c r="D5" s="18" t="str">
        <x:v>Jimmy</x:v>
      </x:c>
      <x:c r="E5" s="20" t="n">
        <x:f>SUMIF('Print Tracker'!I2:I201,D5,'Print Tracker'!C2:C201)</x:f>
        <x:v>12</x:v>
      </x:c>
      <x:c r="F5" s="19" t="n">
        <x:f>SUMIF('Print Tracker'!I2:I201,D5,'Print Tracker'!K2:K201)</x:f>
        <x:v>21.6</x:v>
      </x:c>
    </x:row>
    <x:row r="6">
      <x:c r="A6" s="18" t="str">
        <x:v>Remaining quantity</x:v>
      </x:c>
      <x:c r="B6" s="20" t="n">
        <x:f>MAX(B4-B5,0)</x:f>
        <x:v>36</x:v>
      </x:c>
      <x:c r="D6" s="18" t="str">
        <x:v>Adam</x:v>
      </x:c>
      <x:c r="E6" s="20" t="n">
        <x:f>SUMIF('Print Tracker'!I2:I201,D6,'Print Tracker'!C2:C201)</x:f>
        <x:v>20</x:v>
      </x:c>
      <x:c r="F6" s="19" t="n">
        <x:f>SUMIF('Print Tracker'!I2:I201,D6,'Print Tracker'!K2:K201)</x:f>
        <x:v>10.5</x:v>
      </x:c>
    </x:row>
    <x:row r="7">
      <x:c r="A7" s="18" t="str">
        <x:v>Total print hours</x:v>
      </x:c>
      <x:c r="B7" s="19" t="n">
        <x:f>SUM('Print Tracker'!H2:H201)</x:f>
        <x:v>114.6</x:v>
      </x:c>
      <x:c r="D7" s="18" t="str">
        <x:v>Unassigned</x:v>
      </x:c>
      <x:c r="E7" s="20" t="n">
        <x:f>SUMIFS('Print Tracker'!C2:C201,'Print Tracker'!I2:I201,"")</x:f>
        <x:v>0</x:v>
      </x:c>
      <x:c r="F7" s="19" t="n">
        <x:f>SUMIFS('Print Tracker'!K2:K201,'Print Tracker'!I2:I201,"")</x:f>
        <x:v>0</x:v>
      </x:c>
    </x:row>
    <x:row r="8">
      <x:c r="A8" s="18" t="str">
        <x:v>Hours left</x:v>
      </x:c>
      <x:c r="B8" s="19" t="n">
        <x:f>SUM('Print Tracker'!K2:K201)</x:f>
        <x:v>87.1</x:v>
      </x:c>
    </x:row>
    <x:row r="9">
      <x:c r="A9" s="18" t="str">
        <x:v>Completion %</x:v>
      </x:c>
      <x:c r="B9" s="21" t="n">
        <x:f>IF(B4=0,0,B5/B4)</x:f>
        <x:v>0.5135135135135135</x:v>
      </x:c>
    </x:row>
    <x:row r="12">
      <x:c r="A12" s="17" t="str">
        <x:v>Material Type</x:v>
      </x:c>
      <x:c r="B12" s="17" t="str">
        <x:v>Total mg</x:v>
      </x:c>
      <x:c r="C12" s="17" t="str">
        <x:v>Total g</x:v>
      </x:c>
      <x:c r="D12" s="17" t="str">
        <x:v>Total kg</x:v>
      </x:c>
      <x:c r="F12" s="17" t="str">
        <x:v>Material Color</x:v>
      </x:c>
      <x:c r="G12" s="17" t="str">
        <x:v>Total mg</x:v>
      </x:c>
      <x:c r="H12" s="17" t="str">
        <x:v>Total g</x:v>
      </x:c>
    </x:row>
    <x:row r="13">
      <x:c r="A13" s="18" t="str">
        <x:v>PLA</x:v>
      </x:c>
      <x:c r="B13" s="20" t="n">
        <x:f>SUMIF('Print Tracker'!D2:D201,A13,'Print Tracker'!F2:F201)</x:f>
        <x:v>9500</x:v>
      </x:c>
      <x:c r="C13" s="19" t="n">
        <x:f>B13/1000</x:f>
        <x:v>9.5</x:v>
      </x:c>
      <x:c r="D13" s="22" t="n">
        <x:f>B13/1000000</x:f>
        <x:v>0.0095</x:v>
      </x:c>
      <x:c r="F13" s="18" t="str">
        <x:v>Black</x:v>
      </x:c>
      <x:c r="G13" s="20" t="n">
        <x:f>SUMIF('Print Tracker'!E2:E201,F13,'Print Tracker'!F2:F201)</x:f>
        <x:v>106200</x:v>
      </x:c>
      <x:c r="H13" s="19" t="n">
        <x:f>G13/1000</x:f>
        <x:v>106.2</x:v>
      </x:c>
    </x:row>
    <x:row r="14">
      <x:c r="A14" s="18" t="str">
        <x:v>PETG</x:v>
      </x:c>
      <x:c r="B14" s="20" t="n">
        <x:f>SUMIF('Print Tracker'!D2:D201,A14,'Print Tracker'!F2:F201)</x:f>
        <x:v>102000</x:v>
      </x:c>
      <x:c r="C14" s="19" t="n">
        <x:f>B14/1000</x:f>
        <x:v>102</x:v>
      </x:c>
      <x:c r="D14" s="22" t="n">
        <x:f>B14/1000000</x:f>
        <x:v>0.102</x:v>
      </x:c>
      <x:c r="F14" s="18" t="str">
        <x:v>White</x:v>
      </x:c>
      <x:c r="G14" s="20" t="n">
        <x:f>SUMIF('Print Tracker'!E2:E201,F14,'Print Tracker'!F2:F201)</x:f>
        <x:v>0</x:v>
      </x:c>
      <x:c r="H14" s="19" t="n">
        <x:f>G14/1000</x:f>
        <x:v>0</x:v>
      </x:c>
    </x:row>
    <x:row r="15">
      <x:c r="A15" s="18" t="str">
        <x:v>ABS</x:v>
      </x:c>
      <x:c r="B15" s="20" t="n">
        <x:f>SUMIF('Print Tracker'!D2:D201,A15,'Print Tracker'!F2:F201)</x:f>
        <x:v>0</x:v>
      </x:c>
      <x:c r="C15" s="19" t="n">
        <x:f>B15/1000</x:f>
        <x:v>0</x:v>
      </x:c>
      <x:c r="D15" s="22" t="n">
        <x:f>B15/1000000</x:f>
        <x:v>0</x:v>
      </x:c>
      <x:c r="F15" s="18" t="str">
        <x:v>Matte White</x:v>
      </x:c>
      <x:c r="G15" s="20" t="n">
        <x:f>SUMIF('Print Tracker'!E2:E201,F15,'Print Tracker'!F2:F201)</x:f>
        <x:v>9500</x:v>
      </x:c>
      <x:c r="H15" s="19" t="n">
        <x:f>G15/1000</x:f>
        <x:v>9.5</x:v>
      </x:c>
    </x:row>
    <x:row r="16">
      <x:c r="A16" s="18" t="str">
        <x:v>ASA</x:v>
      </x:c>
      <x:c r="B16" s="20" t="n">
        <x:f>SUMIF('Print Tracker'!D2:D201,A16,'Print Tracker'!F2:F201)</x:f>
        <x:v>0</x:v>
      </x:c>
      <x:c r="C16" s="19" t="n">
        <x:f>B16/1000</x:f>
        <x:v>0</x:v>
      </x:c>
      <x:c r="D16" s="22" t="n">
        <x:f>B16/1000000</x:f>
        <x:v>0</x:v>
      </x:c>
      <x:c r="F16" s="18" t="str">
        <x:v>Natural</x:v>
      </x:c>
      <x:c r="G16" s="20" t="n">
        <x:f>SUMIF('Print Tracker'!E2:E201,F16,'Print Tracker'!F2:F201)</x:f>
        <x:v>0</x:v>
      </x:c>
      <x:c r="H16" s="19" t="n">
        <x:f>G16/1000</x:f>
        <x:v>0</x:v>
      </x:c>
    </x:row>
    <x:row r="17">
      <x:c r="A17" s="18" t="str">
        <x:v>TPU</x:v>
      </x:c>
      <x:c r="B17" s="20" t="n">
        <x:f>SUMIF('Print Tracker'!D2:D201,A17,'Print Tracker'!F2:F201)</x:f>
        <x:v>4200</x:v>
      </x:c>
      <x:c r="C17" s="19" t="n">
        <x:f>B17/1000</x:f>
        <x:v>4.2</x:v>
      </x:c>
      <x:c r="D17" s="22" t="n">
        <x:f>B17/1000000</x:f>
        <x:v>0.0042</x:v>
      </x:c>
      <x:c r="F17" s="18" t="str">
        <x:v>Clear</x:v>
      </x:c>
      <x:c r="G17" s="20" t="n">
        <x:f>SUMIF('Print Tracker'!E2:E201,F17,'Print Tracker'!F2:F201)</x:f>
        <x:v>0</x:v>
      </x:c>
      <x:c r="H17" s="19" t="n">
        <x:f>G17/1000</x:f>
        <x:v>0</x:v>
      </x:c>
    </x:row>
    <x:row r="18">
      <x:c r="A18" s="18" t="str">
        <x:v>Nylon</x:v>
      </x:c>
      <x:c r="B18" s="20" t="n">
        <x:f>SUMIF('Print Tracker'!D2:D201,A18,'Print Tracker'!F2:F201)</x:f>
        <x:v>0</x:v>
      </x:c>
      <x:c r="C18" s="19" t="n">
        <x:f>B18/1000</x:f>
        <x:v>0</x:v>
      </x:c>
      <x:c r="D18" s="22" t="n">
        <x:f>B18/1000000</x:f>
        <x:v>0</x:v>
      </x:c>
      <x:c r="F18" s="18" t="str">
        <x:v>Red</x:v>
      </x:c>
      <x:c r="G18" s="20" t="n">
        <x:f>SUMIF('Print Tracker'!E2:E201,F18,'Print Tracker'!F2:F201)</x:f>
        <x:v>0</x:v>
      </x:c>
      <x:c r="H18" s="19" t="n">
        <x:f>G18/1000</x:f>
        <x:v>0</x:v>
      </x:c>
    </x:row>
    <x:row r="19">
      <x:c r="A19" s="18" t="str">
        <x:v>Other</x:v>
      </x:c>
      <x:c r="B19" s="20" t="n">
        <x:f>SUMIF('Print Tracker'!D2:D201,A19,'Print Tracker'!F2:F201)</x:f>
        <x:v>0</x:v>
      </x:c>
      <x:c r="C19" s="19" t="n">
        <x:f>B19/1000</x:f>
        <x:v>0</x:v>
      </x:c>
      <x:c r="D19" s="22" t="n">
        <x:f>B19/1000000</x:f>
        <x:v>0</x:v>
      </x:c>
      <x:c r="F19" s="18" t="str">
        <x:v>Blue</x:v>
      </x:c>
      <x:c r="G19" s="20" t="n">
        <x:f>SUMIF('Print Tracker'!E2:E201,F19,'Print Tracker'!F2:F201)</x:f>
        <x:v>0</x:v>
      </x:c>
      <x:c r="H19" s="19" t="n">
        <x:f>G19/1000</x:f>
        <x:v>0</x:v>
      </x:c>
    </x:row>
    <x:row r="20">
      <x:c r="A20" s="18" t="str"/>
      <x:c r="B20" s="20"/>
      <x:c r="C20" s="19"/>
      <x:c r="D20" s="22"/>
      <x:c r="F20" s="18" t="str">
        <x:v>Other</x:v>
      </x:c>
      <x:c r="G20" s="20" t="n">
        <x:f>SUMIF('Print Tracker'!E2:E201,F20,'Print Tracker'!F2:F201)</x:f>
        <x:v>0</x:v>
      </x:c>
      <x:c r="H20" s="19" t="n">
        <x:f>G20/1000</x:f>
        <x:v>0</x:v>
      </x:c>
    </x:row>
    <x:row r="21">
      <x:c r="A21" s="27" t="str">
        <x:v>Grand total</x:v>
      </x:c>
      <x:c r="B21" s="28" t="n">
        <x:f>SUM('Print Tracker'!F2:F201)</x:f>
        <x:v>115700</x:v>
      </x:c>
      <x:c r="C21" s="29" t="n">
        <x:f>B21/1000</x:f>
        <x:v>115.7</x:v>
      </x:c>
      <x:c r="D21" s="30" t="n">
        <x:f>B21/1000000</x:f>
        <x:v>0.1157</x:v>
      </x:c>
      <x:c r="F21" s="27" t="str">
        <x:v>Grand total</x:v>
      </x:c>
      <x:c r="G21" s="28" t="n">
        <x:f>SUM('Print Tracker'!F2:F201)</x:f>
        <x:v>115700</x:v>
      </x:c>
      <x:c r="H21" s="29" t="n">
        <x:f>G21/1000</x:f>
        <x:v>115.7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</x:cols>
  <x:sheetData>
    <x:row r="1">
      <x:c r="A1" s="31" t="str">
        <x:v>Material Type</x:v>
      </x:c>
      <x:c r="B1" s="31" t="str">
        <x:v>Priority</x:v>
      </x:c>
      <x:c r="C1" s="31" t="str">
        <x:v>Printer</x:v>
      </x:c>
    </x:row>
    <x:row r="2">
      <x:c r="A2" s="18" t="str">
        <x:v>PLA</x:v>
      </x:c>
      <x:c r="B2" s="18" t="str">
        <x:v>High</x:v>
      </x:c>
      <x:c r="C2" s="18" t="str">
        <x:v>Steve</x:v>
      </x:c>
    </x:row>
    <x:row r="3">
      <x:c r="A3" s="18" t="str">
        <x:v>PETG</x:v>
      </x:c>
      <x:c r="B3" s="18" t="str">
        <x:v>Medium</x:v>
      </x:c>
      <x:c r="C3" s="18" t="str">
        <x:v>Jimmy</x:v>
      </x:c>
    </x:row>
    <x:row r="4">
      <x:c r="A4" s="18" t="str">
        <x:v>ABS</x:v>
      </x:c>
      <x:c r="B4" s="18" t="str">
        <x:v>Low</x:v>
      </x:c>
      <x:c r="C4" s="18" t="str">
        <x:v>Adam</x:v>
      </x:c>
    </x:row>
    <x:row r="5">
      <x:c r="A5" s="18" t="str">
        <x:v>ASA</x:v>
      </x:c>
      <x:c r="B5" s="18"/>
      <x:c r="C5" s="18"/>
    </x:row>
    <x:row r="6">
      <x:c r="A6" s="18" t="str">
        <x:v>TPU</x:v>
      </x:c>
      <x:c r="B6" s="18"/>
      <x:c r="C6" s="18"/>
    </x:row>
    <x:row r="7">
      <x:c r="A7" s="18" t="str">
        <x:v>Nylon</x:v>
      </x:c>
      <x:c r="B7" s="18"/>
      <x:c r="C7" s="18"/>
    </x:row>
    <x:row r="8">
      <x:c r="A8" s="18" t="str">
        <x:v>Other</x:v>
      </x:c>
      <x:c r="B8" s="18"/>
      <x:c r="C8" s="18"/>
    </x:row>
  </x:sheetData>
  <x:pageMargins left="0.7" right="0.7" top="0.75" bottom="0.75" header="0.3" footer="0.3"/>
</x:worksheet>
</file>